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ilot" sheetId="3" state="visible" r:id="rId5"/>
    <sheet name="Y1_Monthly" sheetId="4" state="visible" r:id="rId6"/>
    <sheet name="Y2_Y3_Quarterly" sheetId="5" state="visible" r:id="rId7"/>
    <sheet name="PnL_Summary" sheetId="6" state="visible" r:id="rId8"/>
    <sheet name="Cap_Table_Sketch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<sst xmlns="http://schemas.openxmlformats.org/spreadsheetml/2006/main" count="236" uniqueCount="206">
  <si>
    <t xml:space="preserve">NUM — FINANCIAL MODEL</t>
  </si>
  <si>
    <t xml:space="preserve">AI Personal Concierge · Phuket pilot + multi-tenant scale</t>
  </si>
  <si>
    <t xml:space="preserve">Prepared by</t>
  </si>
  <si>
    <t xml:space="preserve">Lumi (Dre)</t>
  </si>
  <si>
    <t xml:space="preserve">Date</t>
  </si>
  <si>
    <t xml:space="preserve">2026-05-26</t>
  </si>
  <si>
    <t xml:space="preserve">Version</t>
  </si>
  <si>
    <t xml:space="preserve">1.0</t>
  </si>
  <si>
    <t xml:space="preserve">Currency</t>
  </si>
  <si>
    <t xml:space="preserve">USD</t>
  </si>
  <si>
    <t xml:space="preserve">Horizon</t>
  </si>
  <si>
    <t xml:space="preserve">36 months — monthly Y1, quarterly Y2–Y3</t>
  </si>
  <si>
    <t xml:space="preserve">Color key</t>
  </si>
  <si>
    <t xml:space="preserve">Blue text</t>
  </si>
  <si>
    <t xml:space="preserve">Hardcoded input — change to flex scenarios</t>
  </si>
  <si>
    <t xml:space="preserve">Black text</t>
  </si>
  <si>
    <t xml:space="preserve">Formula / calculation</t>
  </si>
  <si>
    <t xml:space="preserve">Green text</t>
  </si>
  <si>
    <t xml:space="preserve">Cross-sheet link</t>
  </si>
  <si>
    <t xml:space="preserve">Yellow background</t>
  </si>
  <si>
    <t xml:space="preserve">Key assumption to revisit</t>
  </si>
  <si>
    <t xml:space="preserve">Tab guide</t>
  </si>
  <si>
    <t xml:space="preserve">Assumptions</t>
  </si>
  <si>
    <t xml:space="preserve">Drivers: tenant rollout, ARPU components, COGS rates, OpEx</t>
  </si>
  <si>
    <t xml:space="preserve">Pilot</t>
  </si>
  <si>
    <t xml:space="preserve">Phuket pilot month-1 economics (rides → scans → activations → revenue)</t>
  </si>
  <si>
    <t xml:space="preserve">Y1_Monthly</t>
  </si>
  <si>
    <t xml:space="preserve">Months 1–12, all revenue + cost lines monthly</t>
  </si>
  <si>
    <t xml:space="preserve">Y2_Y3_Quarterly</t>
  </si>
  <si>
    <t xml:space="preserve">Q5–Q12, multi-tenant scale-up</t>
  </si>
  <si>
    <t xml:space="preserve">PnL_Summary</t>
  </si>
  <si>
    <t xml:space="preserve">Three-year P&amp;L roll-up + key ratios</t>
  </si>
  <si>
    <t xml:space="preserve">Cap_Table_Sketch</t>
  </si>
  <si>
    <t xml:space="preserve">Bootstrapped scenario vs. seed raise — informal</t>
  </si>
  <si>
    <t xml:space="preserve">DRIVERS &amp; ASSUMPTIONS</t>
  </si>
  <si>
    <t xml:space="preserve">Tenant rollout</t>
  </si>
  <si>
    <t xml:space="preserve">New tenants added</t>
  </si>
  <si>
    <t xml:space="preserve">Y1</t>
  </si>
  <si>
    <t xml:space="preserve">Y2</t>
  </si>
  <si>
    <t xml:space="preserve">Y3</t>
  </si>
  <si>
    <t xml:space="preserve">Pilot tenants (free, partner-funded)</t>
  </si>
  <si>
    <t xml:space="preserve">Pro tenants (paid)</t>
  </si>
  <si>
    <t xml:space="preserve">Enterprise tenants</t>
  </si>
  <si>
    <t xml:space="preserve">Total tenants — end of period</t>
  </si>
  <si>
    <t xml:space="preserve">Per-tenant economics (Pro tier baseline)</t>
  </si>
  <si>
    <t xml:space="preserve">Setup fee (one-time, $)</t>
  </si>
  <si>
    <t xml:space="preserve">Monthly platform fee ($/mo)</t>
  </si>
  <si>
    <t xml:space="preserve">Included conversations / mo</t>
  </si>
  <si>
    <t xml:space="preserve">Usage overage rate ($/conversation)</t>
  </si>
  <si>
    <t xml:space="preserve">Expected MAU per mature tenant</t>
  </si>
  <si>
    <t xml:space="preserve">Avg msgs per active user / mo</t>
  </si>
  <si>
    <t xml:space="preserve">Bookings per MAU / mo (12% × $40 commission)</t>
  </si>
  <si>
    <t xml:space="preserve">Whale leads per MAU / mo (1% × $300)</t>
  </si>
  <si>
    <t xml:space="preserve">Merchant featured-listing revenue / mo (gross, per tenant)</t>
  </si>
  <si>
    <t xml:space="preserve">NUM+ subscription take-rate</t>
  </si>
  <si>
    <t xml:space="preserve">NUM+ price ($/mo)</t>
  </si>
  <si>
    <t xml:space="preserve">Lumi rev-share — bookings</t>
  </si>
  <si>
    <t xml:space="preserve">Lumi rev-share — whale leads</t>
  </si>
  <si>
    <t xml:space="preserve">Lumi rev-share — merchant subs</t>
  </si>
  <si>
    <t xml:space="preserve">Lumi rev-share — NUM+ subs</t>
  </si>
  <si>
    <t xml:space="preserve">Pilot drivers (Phuket InCar)</t>
  </si>
  <si>
    <t xml:space="preserve">Vehicles in pilot</t>
  </si>
  <si>
    <t xml:space="preserve">Rides per vehicle per day</t>
  </si>
  <si>
    <t xml:space="preserve">Days in pilot month</t>
  </si>
  <si>
    <t xml:space="preserve">QR scan rate</t>
  </si>
  <si>
    <t xml:space="preserve">Activation rate (scanner → 1+ msg)</t>
  </si>
  <si>
    <t xml:space="preserve">Active rate (≥6 msgs)</t>
  </si>
  <si>
    <t xml:space="preserve">Booking conversion (% active)</t>
  </si>
  <si>
    <t xml:space="preserve">Avg booking commission ($)</t>
  </si>
  <si>
    <t xml:space="preserve">Whale-lead rate (% active)</t>
  </si>
  <si>
    <t xml:space="preserve">Avg whale-lead fee ($)</t>
  </si>
  <si>
    <t xml:space="preserve">Lumi rev-share — pilot bookings</t>
  </si>
  <si>
    <t xml:space="preserve">Lumi rev-share — pilot whale leads</t>
  </si>
  <si>
    <t xml:space="preserve">Pilot infra absorbed by Lumi ($)</t>
  </si>
  <si>
    <t xml:space="preserve">COGS &amp; OpEx</t>
  </si>
  <si>
    <t xml:space="preserve">Variable COGS per active user / mo ($)</t>
  </si>
  <si>
    <t xml:space="preserve">Fixed infra &amp; tooling ($/mo, Y1)</t>
  </si>
  <si>
    <t xml:space="preserve">Fixed infra &amp; tooling ($/mo, Y2)</t>
  </si>
  <si>
    <t xml:space="preserve">Fixed infra &amp; tooling ($/mo, Y3)</t>
  </si>
  <si>
    <t xml:space="preserve">Headcount cost ($/mo, Y1) — Dre + 1 contractor</t>
  </si>
  <si>
    <t xml:space="preserve">Headcount cost ($/mo, Y2) — Dre + 3 FTE</t>
  </si>
  <si>
    <t xml:space="preserve">Headcount cost ($/mo, Y3) — Dre + 6 FTE</t>
  </si>
  <si>
    <t xml:space="preserve">G&amp;A + Tools ($/mo, Y1)</t>
  </si>
  <si>
    <t xml:space="preserve">G&amp;A + Tools ($/mo, Y2)</t>
  </si>
  <si>
    <t xml:space="preserve">G&amp;A + Tools ($/mo, Y3)</t>
  </si>
  <si>
    <t xml:space="preserve">Marketing ($/mo, Y1)</t>
  </si>
  <si>
    <t xml:space="preserve">Marketing ($/mo, Y2)</t>
  </si>
  <si>
    <t xml:space="preserve">Marketing ($/mo, Y3)</t>
  </si>
  <si>
    <t xml:space="preserve">PHUKET PILOT — MONTH 1 SNAPSHOT</t>
  </si>
  <si>
    <t xml:space="preserve">Funnel</t>
  </si>
  <si>
    <t xml:space="preserve">Vehicles</t>
  </si>
  <si>
    <t xml:space="preserve">Rides / vehicle / day</t>
  </si>
  <si>
    <t xml:space="preserve">Days in month</t>
  </si>
  <si>
    <t xml:space="preserve">Total rides</t>
  </si>
  <si>
    <t xml:space="preserve">QR scans</t>
  </si>
  <si>
    <t xml:space="preserve">Activation rate</t>
  </si>
  <si>
    <t xml:space="preserve">Activated users (sent ≥1 msg)</t>
  </si>
  <si>
    <t xml:space="preserve">Active users</t>
  </si>
  <si>
    <t xml:space="preserve">Revenue</t>
  </si>
  <si>
    <t xml:space="preserve">Booking conversion (% of active)</t>
  </si>
  <si>
    <t xml:space="preserve">Bookings</t>
  </si>
  <si>
    <t xml:space="preserve">Avg booking commission</t>
  </si>
  <si>
    <t xml:space="preserve">Gross booking commissions</t>
  </si>
  <si>
    <t xml:space="preserve">Whale-lead rate (% of active)</t>
  </si>
  <si>
    <t xml:space="preserve">Qualified whale leads</t>
  </si>
  <si>
    <t xml:space="preserve">Avg whale-lead fee</t>
  </si>
  <si>
    <t xml:space="preserve">Gross whale-lead revenue</t>
  </si>
  <si>
    <t xml:space="preserve">Gross pilot revenue</t>
  </si>
  <si>
    <t xml:space="preserve">Split</t>
  </si>
  <si>
    <t xml:space="preserve">Lumi share of bookings</t>
  </si>
  <si>
    <t xml:space="preserve">Lumi share of whale leads</t>
  </si>
  <si>
    <t xml:space="preserve">Lumi gross pilot revenue</t>
  </si>
  <si>
    <t xml:space="preserve">Pilot infra absorbed by Lumi</t>
  </si>
  <si>
    <t xml:space="preserve">Lumi net (pilot, month 1)</t>
  </si>
  <si>
    <t xml:space="preserve">Partner share</t>
  </si>
  <si>
    <t xml:space="preserve">YEAR 1 — MONTHLY P&amp;L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</si>
  <si>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</si>
  <si>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</si>
  <si>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</si>
  <si>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</si>
  <si>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</si>
  <si>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</si>
  <si>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</si>
  <si>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</si>
  <si>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</si>
  <si>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</si>
  <si>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</si>
  <si>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</si>
  <si>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Y1 Total</t>
  </si>
  <si>
    <t xml:space="preserve">Tenants</t>
  </si>
  <si>
    <t xml:space="preserve">Pilot tenants (active)</t>
  </si>
  <si>
    <t xml:space="preserve">Pro tenants (active)</t>
  </si>
  <si>
    <t xml:space="preserve">MAU per Pro tenant (avg)</t>
  </si>
  <si>
    <t xml:space="preserve">Total active users</t>
  </si>
  <si>
    <t xml:space="preserve">Revenue ($)</t>
  </si>
  <si>
    <t xml:space="preserve">Platform fee (Pro)</t>
  </si>
  <si>
    <t xml:space="preserve">Setup fees (one-time)</t>
  </si>
  <si>
    <t xml:space="preserve">Booking commissions (Lumi share)</t>
  </si>
  <si>
    <t xml:space="preserve">Whale-lead revenue (Lumi share)</t>
  </si>
  <si>
    <t xml:space="preserve">Merchant featured-listing (Lumi share)</t>
  </si>
  <si>
    <t xml:space="preserve">NUM+ subscriptions (Lumi share)</t>
  </si>
  <si>
    <t xml:space="preserve">Pilot revenue (Lumi share, one-time)</t>
  </si>
  <si>
    <t xml:space="preserve">Total revenue</t>
  </si>
  <si>
    <t xml:space="preserve">COGS ($)</t>
  </si>
  <si>
    <t xml:space="preserve">Variable COGS (per-active)</t>
  </si>
  <si>
    <t xml:space="preserve">Fixed infra &amp; tooling</t>
  </si>
  <si>
    <t xml:space="preserve">Total COGS</t>
  </si>
  <si>
    <t xml:space="preserve">Gross profit</t>
  </si>
  <si>
    <t xml:space="preserve">Gross margin %</t>
  </si>
  <si>
    <t xml:space="preserve">OpEx ($)</t>
  </si>
  <si>
    <t xml:space="preserve">Headcount</t>
  </si>
  <si>
    <t xml:space="preserve">G&amp;A + Tools</t>
  </si>
  <si>
    <t xml:space="preserve">Marketing</t>
  </si>
  <si>
    <t xml:space="preserve">Total OpEx</t>
  </si>
  <si>
    <t xml:space="preserve">EBITDA</t>
  </si>
  <si>
    <t xml:space="preserve">EBITDA margin %</t>
  </si>
  <si>
    <t xml:space="preserve">Cumulative cash flow (no funding)</t>
  </si>
  <si>
    <t xml:space="preserve">YEARS 2–3 — QUARTERLY P&amp;L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</si>
  <si>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</si>
  <si>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</si>
  <si>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</si>
  <si>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</si>
  <si>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</si>
  <si>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</si>
  <si>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</si>
  <si>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</si>
  <si>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Y2+Y3 Total</t>
  </si>
  <si>
    <t xml:space="preserve">Enterprise tenants (active)</t>
  </si>
  <si>
    <t xml:space="preserve">MAU per Enterprise tenant (avg)</t>
  </si>
  <si>
    <t xml:space="preserve">Total active users (per month avg in quarter)</t>
  </si>
  <si>
    <t xml:space="preserve">Revenue ($/quarter)</t>
  </si>
  <si>
    <t xml:space="preserve">Platform fee (Pro+Ent)</t>
  </si>
  <si>
    <t xml:space="preserve">NUM+ subscriptions</t>
  </si>
  <si>
    <t xml:space="preserve">COGS ($/quarter)</t>
  </si>
  <si>
    <t xml:space="preserve">Variable COGS</t>
  </si>
  <si>
    <t xml:space="preserve">OpEx ($/quarter)</t>
  </si>
  <si>
    <t xml:space="preserve">Cumulative cash flow (from Y1 end)</t>
  </si>
  <si>
    <t xml:space="preserve">3-YEAR P&amp;L SUMMARY</t>
  </si>
  <si>
    <t xml:space="preserve">Year 1</t>
  </si>
  <si>
    <t xml:space="preserve">Year 2</t>
  </si>
  <si>
    <t xml:space="preserve">Year 3</t>
  </si>
  <si>
    <t xml:space="preserve">3-Yr Total</t>
  </si>
  <si>
    <t xml:space="preserve">Platform fees + setup</t>
  </si>
  <si>
    <t xml:space="preserve">Booking commissions</t>
  </si>
  <si>
    <t xml:space="preserve">Whale-lead revenue</t>
  </si>
  <si>
    <t xml:space="preserve">Merchant featured-listing</t>
  </si>
  <si>
    <t xml:space="preserve">Key ratios</t>
  </si>
  <si>
    <t xml:space="preserve">Tenants — end of period</t>
  </si>
  <si>
    <t xml:space="preserve">Total active users (avg)</t>
  </si>
  <si>
    <t xml:space="preserve">Revenue per active user (annual avg, $)</t>
  </si>
  <si>
    <t xml:space="preserve">Revenue per tenant ($)</t>
  </si>
  <si>
    <t xml:space="preserve">FUNDING SCENARIOS — INFORMAL</t>
  </si>
  <si>
    <t xml:space="preserve">Scenario A — Bootstrapped (recommended)</t>
  </si>
  <si>
    <t xml:space="preserve">Capital required (Y1 burn coverage from founder + partner pilot)</t>
  </si>
  <si>
    <t xml:space="preserve">Equity given up</t>
  </si>
  <si>
    <t xml:space="preserve">Founder ownership</t>
  </si>
  <si>
    <t xml:space="preserve">Path to profitability</t>
  </si>
  <si>
    <t xml:space="preserve">Q5–Q6 (early Y2)</t>
  </si>
  <si>
    <t xml:space="preserve">Implied Y3 valuation @ 5x revenue</t>
  </si>
  <si>
    <t xml:space="preserve">Scenario B — Seed raise (only if competitive heat demands it)</t>
  </si>
  <si>
    <t xml:space="preserve">Raise amount</t>
  </si>
  <si>
    <t xml:space="preserve">Pre-money valuation</t>
  </si>
  <si>
    <t xml:space="preserve">Post-money</t>
  </si>
  <si>
    <t xml:space="preserve">Dilution to founders</t>
  </si>
  <si>
    <t xml:space="preserve">Use of funds — accelerate to 3 tenants in Y1 instead of 2</t>
  </si>
  <si>
    <t xml:space="preserve">Note: assumes funded scenario grows revenue 40% faster than bootstrapped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</si>
</sst>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A9CCE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426"/>
        <bgColor rgb="FF000000"/>
      </patternFill>
    </fill>
    <fill>
      <patternFill patternType="solid">
        <fgColor rgb="FFD6EAF8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B3A57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CC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7"/>
      <rgbColor rgb="FF339966"/>
      <rgbColor rgb="FF0B14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70"/>
  </cols>
  <sheetData>
    <row r="2" customFormat="false" ht="39.75" hidden="false" customHeight="true" outlineLevel="0" collapsed="false">
      <c r="B2" s="1" t="s">
        <v>0</v>
      </c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B3" s="3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4" t="s">
        <v>2</v>
      </c>
      <c r="C5" s="5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15" hidden="false" customHeight="false" outlineLevel="0" collapsed="false">
      <c r="B7" s="4" t="s">
        <v>6</v>
      </c>
      <c r="C7" s="5" t="s">
        <v>7</v>
      </c>
    </row>
    <row r="8" customFormat="false" ht="1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4" t="s">
        <v>10</v>
      </c>
      <c r="C9" s="5" t="s">
        <v>11</v>
      </c>
    </row>
    <row r="11" customFormat="false" ht="15" hidden="false" customHeight="false" outlineLevel="0" collapsed="false">
      <c r="B11" s="6" t="s">
        <v>12</v>
      </c>
    </row>
    <row r="12" customFormat="false" ht="15" hidden="false" customHeight="false" outlineLevel="0" collapsed="false">
      <c r="B12" s="7" t="s">
        <v>13</v>
      </c>
      <c r="C12" s="5" t="s">
        <v>14</v>
      </c>
    </row>
    <row r="13" customFormat="false" ht="15" hidden="false" customHeight="false" outlineLevel="0" collapsed="false">
      <c r="B13" s="5" t="s">
        <v>15</v>
      </c>
      <c r="C13" s="5" t="s">
        <v>16</v>
      </c>
    </row>
    <row r="14" customFormat="false" ht="15" hidden="false" customHeight="false" outlineLevel="0" collapsed="false">
      <c r="B14" s="8" t="s">
        <v>17</v>
      </c>
      <c r="C14" s="5" t="s">
        <v>18</v>
      </c>
    </row>
    <row r="15" customFormat="false" ht="15" hidden="false" customHeight="false" outlineLevel="0" collapsed="false">
      <c r="B15" s="9" t="s">
        <v>19</v>
      </c>
      <c r="C15" s="5" t="s">
        <v>20</v>
      </c>
    </row>
    <row r="18" customFormat="false" ht="15" hidden="false" customHeight="false" outlineLevel="0" collapsed="false">
      <c r="B18" s="6" t="s">
        <v>21</v>
      </c>
    </row>
    <row r="19" customFormat="false" ht="15" hidden="false" customHeight="false" outlineLevel="0" collapsed="false">
      <c r="B19" s="4" t="s">
        <v>22</v>
      </c>
      <c r="C19" s="5" t="s">
        <v>23</v>
      </c>
    </row>
    <row r="20" customFormat="false" ht="15" hidden="false" customHeight="false" outlineLevel="0" collapsed="false">
      <c r="B20" s="4" t="s">
        <v>24</v>
      </c>
      <c r="C20" s="5" t="s">
        <v>25</v>
      </c>
    </row>
    <row r="21" customFormat="false" ht="15" hidden="false" customHeight="false" outlineLevel="0" collapsed="false">
      <c r="B21" s="4" t="s">
        <v>26</v>
      </c>
      <c r="C21" s="5" t="s">
        <v>27</v>
      </c>
    </row>
    <row r="22" customFormat="false" ht="15" hidden="false" customHeight="false" outlineLevel="0" collapsed="false">
      <c r="B22" s="4" t="s">
        <v>28</v>
      </c>
      <c r="C22" s="5" t="s">
        <v>29</v>
      </c>
    </row>
    <row r="23" customFormat="false" ht="15" hidden="false" customHeight="false" outlineLevel="0" collapsed="false">
      <c r="B23" s="4" t="s">
        <v>30</v>
      </c>
      <c r="C23" s="5" t="s">
        <v>31</v>
      </c>
    </row>
    <row r="24" customFormat="false" ht="15" hidden="false" customHeight="false" outlineLevel="0" collapsed="false">
      <c r="B24" s="4" t="s">
        <v>32</v>
      </c>
      <c r="C24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5" min="3" style="0" width="16"/>
  </cols>
  <sheetData>
    <row r="2" customFormat="false" ht="15" hidden="false" customHeight="false" outlineLevel="0" collapsed="false">
      <c r="B2" s="10" t="s">
        <v>34</v>
      </c>
      <c r="C2" s="10"/>
      <c r="D2" s="10"/>
      <c r="E2" s="10"/>
    </row>
    <row r="4" customFormat="false" ht="15" hidden="false" customHeight="false" outlineLevel="0" collapsed="false">
      <c r="B4" s="11" t="s">
        <v>35</v>
      </c>
      <c r="C4" s="11"/>
      <c r="D4" s="11"/>
      <c r="E4" s="11"/>
    </row>
    <row r="5" customFormat="false" ht="15" hidden="false" customHeight="false" outlineLevel="0" collapsed="false">
      <c r="B5" s="0" t="s">
        <v>36</v>
      </c>
      <c r="C5" s="12" t="s">
        <v>37</v>
      </c>
      <c r="D5" s="12" t="s">
        <v>38</v>
      </c>
      <c r="E5" s="12" t="s">
        <v>39</v>
      </c>
    </row>
    <row r="6" customFormat="false" ht="15" hidden="false" customHeight="false" outlineLevel="0" collapsed="false">
      <c r="B6" s="0" t="s">
        <v>40</v>
      </c>
      <c r="C6" s="13" t="n">
        <v>1</v>
      </c>
      <c r="D6" s="13" t="n">
        <v>0</v>
      </c>
      <c r="E6" s="13" t="n">
        <v>0</v>
      </c>
    </row>
    <row r="7" customFormat="false" ht="15" hidden="false" customHeight="false" outlineLevel="0" collapsed="false">
      <c r="B7" s="0" t="s">
        <v>41</v>
      </c>
      <c r="C7" s="13" t="n">
        <v>1</v>
      </c>
      <c r="D7" s="13" t="n">
        <v>3</v>
      </c>
      <c r="E7" s="13" t="n">
        <v>4</v>
      </c>
    </row>
    <row r="8" customFormat="false" ht="15" hidden="false" customHeight="false" outlineLevel="0" collapsed="false">
      <c r="B8" s="0" t="s">
        <v>42</v>
      </c>
      <c r="C8" s="13" t="n">
        <v>0</v>
      </c>
      <c r="D8" s="13" t="n">
        <v>0</v>
      </c>
      <c r="E8" s="13" t="n">
        <v>2</v>
      </c>
    </row>
    <row r="9" customFormat="false" ht="15" hidden="false" customHeight="false" outlineLevel="0" collapsed="false">
      <c r="B9" s="0" t="s">
        <v>43</v>
      </c>
      <c r="C9" s="14" t="n">
        <f aca="false">C6+C7+C8</f>
        <v>2</v>
      </c>
      <c r="D9" s="14" t="n">
        <f aca="false">C9+D6+D7+D8</f>
        <v>5</v>
      </c>
      <c r="E9" s="14" t="n">
        <f aca="false">D9+E6+E7+E8</f>
        <v>11</v>
      </c>
    </row>
    <row r="11" customFormat="false" ht="15" hidden="false" customHeight="false" outlineLevel="0" collapsed="false">
      <c r="B11" s="11" t="s">
        <v>44</v>
      </c>
      <c r="C11" s="11"/>
      <c r="D11" s="11"/>
      <c r="E11" s="11"/>
    </row>
    <row r="12" customFormat="false" ht="15" hidden="false" customHeight="false" outlineLevel="0" collapsed="false">
      <c r="B12" s="5" t="s">
        <v>45</v>
      </c>
      <c r="C12" s="15" t="n">
        <v>5000</v>
      </c>
    </row>
    <row r="13" customFormat="false" ht="15" hidden="false" customHeight="false" outlineLevel="0" collapsed="false">
      <c r="B13" s="5" t="s">
        <v>46</v>
      </c>
      <c r="C13" s="15" t="n">
        <v>2500</v>
      </c>
    </row>
    <row r="14" customFormat="false" ht="15" hidden="false" customHeight="false" outlineLevel="0" collapsed="false">
      <c r="B14" s="5" t="s">
        <v>47</v>
      </c>
      <c r="C14" s="15" t="n">
        <v>5000</v>
      </c>
    </row>
    <row r="15" customFormat="false" ht="15" hidden="false" customHeight="false" outlineLevel="0" collapsed="false">
      <c r="B15" s="5" t="s">
        <v>48</v>
      </c>
      <c r="C15" s="16" t="n">
        <v>0.04</v>
      </c>
    </row>
    <row r="16" customFormat="false" ht="15" hidden="false" customHeight="false" outlineLevel="0" collapsed="false">
      <c r="B16" s="5" t="s">
        <v>49</v>
      </c>
      <c r="C16" s="15" t="n">
        <v>10000</v>
      </c>
    </row>
    <row r="17" customFormat="false" ht="15" hidden="false" customHeight="false" outlineLevel="0" collapsed="false">
      <c r="B17" s="5" t="s">
        <v>50</v>
      </c>
      <c r="C17" s="15" t="n">
        <v>35</v>
      </c>
    </row>
    <row r="18" customFormat="false" ht="15" hidden="false" customHeight="false" outlineLevel="0" collapsed="false">
      <c r="B18" s="5" t="s">
        <v>51</v>
      </c>
      <c r="C18" s="17" t="n">
        <v>4.8</v>
      </c>
    </row>
    <row r="19" customFormat="false" ht="15" hidden="false" customHeight="false" outlineLevel="0" collapsed="false">
      <c r="B19" s="5" t="s">
        <v>52</v>
      </c>
      <c r="C19" s="17" t="n">
        <v>3</v>
      </c>
    </row>
    <row r="20" customFormat="false" ht="15" hidden="false" customHeight="false" outlineLevel="0" collapsed="false">
      <c r="B20" s="5" t="s">
        <v>53</v>
      </c>
      <c r="C20" s="15" t="n">
        <v>7000</v>
      </c>
    </row>
    <row r="21" customFormat="false" ht="15" hidden="false" customHeight="false" outlineLevel="0" collapsed="false">
      <c r="B21" s="5" t="s">
        <v>54</v>
      </c>
      <c r="C21" s="16" t="n">
        <v>0.03</v>
      </c>
    </row>
    <row r="22" customFormat="false" ht="15" hidden="false" customHeight="false" outlineLevel="0" collapsed="false">
      <c r="B22" s="5" t="s">
        <v>55</v>
      </c>
      <c r="C22" s="17" t="n">
        <v>9.99</v>
      </c>
    </row>
    <row r="23" customFormat="false" ht="15" hidden="false" customHeight="false" outlineLevel="0" collapsed="false">
      <c r="B23" s="5" t="s">
        <v>56</v>
      </c>
      <c r="C23" s="16" t="n">
        <v>0.35</v>
      </c>
    </row>
    <row r="24" customFormat="false" ht="15" hidden="false" customHeight="false" outlineLevel="0" collapsed="false">
      <c r="B24" s="5" t="s">
        <v>57</v>
      </c>
      <c r="C24" s="16" t="n">
        <v>0.25</v>
      </c>
    </row>
    <row r="25" customFormat="false" ht="15" hidden="false" customHeight="false" outlineLevel="0" collapsed="false">
      <c r="B25" s="5" t="s">
        <v>58</v>
      </c>
      <c r="C25" s="16" t="n">
        <v>0.3</v>
      </c>
    </row>
    <row r="26" customFormat="false" ht="15" hidden="false" customHeight="false" outlineLevel="0" collapsed="false">
      <c r="B26" s="5" t="s">
        <v>59</v>
      </c>
      <c r="C26" s="16" t="n">
        <v>1</v>
      </c>
    </row>
    <row r="28" customFormat="false" ht="15" hidden="false" customHeight="false" outlineLevel="0" collapsed="false">
      <c r="B28" s="11" t="s">
        <v>60</v>
      </c>
      <c r="C28" s="11"/>
      <c r="D28" s="11"/>
      <c r="E28" s="11"/>
    </row>
    <row r="29" customFormat="false" ht="15" hidden="false" customHeight="false" outlineLevel="0" collapsed="false">
      <c r="B29" s="5" t="s">
        <v>61</v>
      </c>
      <c r="C29" s="13" t="n">
        <v>35</v>
      </c>
    </row>
    <row r="30" customFormat="false" ht="15" hidden="false" customHeight="false" outlineLevel="0" collapsed="false">
      <c r="B30" s="5" t="s">
        <v>62</v>
      </c>
      <c r="C30" s="13" t="n">
        <v>25</v>
      </c>
    </row>
    <row r="31" customFormat="false" ht="15" hidden="false" customHeight="false" outlineLevel="0" collapsed="false">
      <c r="B31" s="5" t="s">
        <v>63</v>
      </c>
      <c r="C31" s="13" t="n">
        <v>30</v>
      </c>
    </row>
    <row r="32" customFormat="false" ht="15" hidden="false" customHeight="false" outlineLevel="0" collapsed="false">
      <c r="B32" s="5" t="s">
        <v>64</v>
      </c>
      <c r="C32" s="16" t="n">
        <v>0.08</v>
      </c>
    </row>
    <row r="33" customFormat="false" ht="15" hidden="false" customHeight="false" outlineLevel="0" collapsed="false">
      <c r="B33" s="5" t="s">
        <v>65</v>
      </c>
      <c r="C33" s="16" t="n">
        <v>0.6</v>
      </c>
    </row>
    <row r="34" customFormat="false" ht="15" hidden="false" customHeight="false" outlineLevel="0" collapsed="false">
      <c r="B34" s="5" t="s">
        <v>66</v>
      </c>
      <c r="C34" s="16" t="n">
        <v>0.7</v>
      </c>
    </row>
    <row r="35" customFormat="false" ht="15" hidden="false" customHeight="false" outlineLevel="0" collapsed="false">
      <c r="B35" s="5" t="s">
        <v>67</v>
      </c>
      <c r="C35" s="16" t="n">
        <v>0.12</v>
      </c>
    </row>
    <row r="36" customFormat="false" ht="15" hidden="false" customHeight="false" outlineLevel="0" collapsed="false">
      <c r="B36" s="5" t="s">
        <v>68</v>
      </c>
      <c r="C36" s="13" t="n">
        <v>40</v>
      </c>
    </row>
    <row r="37" customFormat="false" ht="15" hidden="false" customHeight="false" outlineLevel="0" collapsed="false">
      <c r="B37" s="5" t="s">
        <v>69</v>
      </c>
      <c r="C37" s="16" t="n">
        <v>0.035</v>
      </c>
    </row>
    <row r="38" customFormat="false" ht="15" hidden="false" customHeight="false" outlineLevel="0" collapsed="false">
      <c r="B38" s="5" t="s">
        <v>70</v>
      </c>
      <c r="C38" s="13" t="n">
        <v>300</v>
      </c>
    </row>
    <row r="39" customFormat="false" ht="15" hidden="false" customHeight="false" outlineLevel="0" collapsed="false">
      <c r="B39" s="5" t="s">
        <v>71</v>
      </c>
      <c r="C39" s="16" t="n">
        <v>0.5</v>
      </c>
    </row>
    <row r="40" customFormat="false" ht="15" hidden="false" customHeight="false" outlineLevel="0" collapsed="false">
      <c r="B40" s="5" t="s">
        <v>72</v>
      </c>
      <c r="C40" s="16" t="n">
        <v>0.3</v>
      </c>
    </row>
    <row r="41" customFormat="false" ht="15" hidden="false" customHeight="false" outlineLevel="0" collapsed="false">
      <c r="B41" s="5" t="s">
        <v>73</v>
      </c>
      <c r="C41" s="13" t="n">
        <v>2300</v>
      </c>
    </row>
    <row r="43" customFormat="false" ht="15" hidden="false" customHeight="false" outlineLevel="0" collapsed="false">
      <c r="B43" s="11" t="s">
        <v>74</v>
      </c>
      <c r="C43" s="11"/>
      <c r="D43" s="11"/>
      <c r="E43" s="11"/>
    </row>
    <row r="44" customFormat="false" ht="15" hidden="false" customHeight="false" outlineLevel="0" collapsed="false">
      <c r="B44" s="5" t="s">
        <v>75</v>
      </c>
      <c r="C44" s="15" t="n">
        <v>0.64</v>
      </c>
    </row>
    <row r="45" customFormat="false" ht="15" hidden="false" customHeight="false" outlineLevel="0" collapsed="false">
      <c r="B45" s="5" t="s">
        <v>76</v>
      </c>
      <c r="C45" s="15" t="n">
        <v>800</v>
      </c>
    </row>
    <row r="46" customFormat="false" ht="15" hidden="false" customHeight="false" outlineLevel="0" collapsed="false">
      <c r="B46" s="5" t="s">
        <v>77</v>
      </c>
      <c r="C46" s="15" t="n">
        <v>1800</v>
      </c>
    </row>
    <row r="47" customFormat="false" ht="15" hidden="false" customHeight="false" outlineLevel="0" collapsed="false">
      <c r="B47" s="5" t="s">
        <v>78</v>
      </c>
      <c r="C47" s="15" t="n">
        <v>3500</v>
      </c>
    </row>
    <row r="48" customFormat="false" ht="15" hidden="false" customHeight="false" outlineLevel="0" collapsed="false">
      <c r="B48" s="5" t="s">
        <v>79</v>
      </c>
      <c r="C48" s="15" t="n">
        <v>12000</v>
      </c>
    </row>
    <row r="49" customFormat="false" ht="15" hidden="false" customHeight="false" outlineLevel="0" collapsed="false">
      <c r="B49" s="5" t="s">
        <v>80</v>
      </c>
      <c r="C49" s="15" t="n">
        <v>32000</v>
      </c>
    </row>
    <row r="50" customFormat="false" ht="15" hidden="false" customHeight="false" outlineLevel="0" collapsed="false">
      <c r="B50" s="5" t="s">
        <v>81</v>
      </c>
      <c r="C50" s="15" t="n">
        <v>65000</v>
      </c>
    </row>
    <row r="51" customFormat="false" ht="15" hidden="false" customHeight="false" outlineLevel="0" collapsed="false">
      <c r="B51" s="5" t="s">
        <v>82</v>
      </c>
      <c r="C51" s="15" t="n">
        <v>1500</v>
      </c>
    </row>
    <row r="52" customFormat="false" ht="15" hidden="false" customHeight="false" outlineLevel="0" collapsed="false">
      <c r="B52" s="5" t="s">
        <v>83</v>
      </c>
      <c r="C52" s="15" t="n">
        <v>3500</v>
      </c>
    </row>
    <row r="53" customFormat="false" ht="15" hidden="false" customHeight="false" outlineLevel="0" collapsed="false">
      <c r="B53" s="5" t="s">
        <v>84</v>
      </c>
      <c r="C53" s="15" t="n">
        <v>7000</v>
      </c>
    </row>
    <row r="54" customFormat="false" ht="15" hidden="false" customHeight="false" outlineLevel="0" collapsed="false">
      <c r="B54" s="5" t="s">
        <v>85</v>
      </c>
      <c r="C54" s="15" t="n">
        <v>500</v>
      </c>
    </row>
    <row r="55" customFormat="false" ht="15" hidden="false" customHeight="false" outlineLevel="0" collapsed="false">
      <c r="B55" s="5" t="s">
        <v>86</v>
      </c>
      <c r="C55" s="15" t="n">
        <v>4000</v>
      </c>
    </row>
    <row r="56" customFormat="false" ht="15" hidden="false" customHeight="false" outlineLevel="0" collapsed="false">
      <c r="B56" s="5" t="s">
        <v>87</v>
      </c>
      <c r="C56" s="15" t="n">
        <v>10000</v>
      </c>
    </row>
  </sheetData>
  <mergeCells count="5">
    <mergeCell ref="B2:E2"/>
    <mergeCell ref="B4:E4"/>
    <mergeCell ref="B11:E11"/>
    <mergeCell ref="B28:E28"/>
    <mergeCell ref="B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6"/>
  </cols>
  <sheetData>
    <row r="2" customFormat="false" ht="15" hidden="false" customHeight="false" outlineLevel="0" collapsed="false">
      <c r="B2" s="10" t="s">
        <v>88</v>
      </c>
      <c r="C2" s="10"/>
      <c r="D2" s="10"/>
    </row>
    <row r="3" customFormat="false" ht="15" hidden="false" customHeight="false" outlineLevel="0" collapsed="false">
      <c r="B3" s="11" t="s">
        <v>89</v>
      </c>
      <c r="C3" s="11"/>
      <c r="D3" s="11"/>
    </row>
    <row r="4" customFormat="false" ht="15" hidden="false" customHeight="false" outlineLevel="0" collapsed="false">
      <c r="B4" s="5" t="s">
        <v>90</v>
      </c>
      <c r="C4" s="18" t="n">
        <f aca="false">Assumptions!C29</f>
        <v>35</v>
      </c>
    </row>
    <row r="5" customFormat="false" ht="15" hidden="false" customHeight="false" outlineLevel="0" collapsed="false">
      <c r="B5" s="5" t="s">
        <v>91</v>
      </c>
      <c r="C5" s="18" t="n">
        <f aca="false">Assumptions!C30</f>
        <v>25</v>
      </c>
    </row>
    <row r="6" customFormat="false" ht="15" hidden="false" customHeight="false" outlineLevel="0" collapsed="false">
      <c r="B6" s="5" t="s">
        <v>92</v>
      </c>
      <c r="C6" s="18" t="n">
        <f aca="false">Assumptions!C31</f>
        <v>30</v>
      </c>
    </row>
    <row r="7" customFormat="false" ht="15" hidden="false" customHeight="false" outlineLevel="0" collapsed="false">
      <c r="B7" s="5" t="s">
        <v>93</v>
      </c>
      <c r="C7" s="19" t="n">
        <f aca="false">C4*C5*C6</f>
        <v>26250</v>
      </c>
    </row>
    <row r="8" customFormat="false" ht="15" hidden="false" customHeight="false" outlineLevel="0" collapsed="false">
      <c r="B8" s="5" t="s">
        <v>64</v>
      </c>
      <c r="C8" s="20" t="n">
        <f aca="false">Assumptions!C32</f>
        <v>0.08</v>
      </c>
    </row>
    <row r="9" customFormat="false" ht="15" hidden="false" customHeight="false" outlineLevel="0" collapsed="false">
      <c r="B9" s="5" t="s">
        <v>94</v>
      </c>
      <c r="C9" s="19" t="n">
        <f aca="false">C7*C8</f>
        <v>2100</v>
      </c>
    </row>
    <row r="10" customFormat="false" ht="15" hidden="false" customHeight="false" outlineLevel="0" collapsed="false">
      <c r="B10" s="5" t="s">
        <v>95</v>
      </c>
      <c r="C10" s="20" t="n">
        <f aca="false">Assumptions!C33</f>
        <v>0.6</v>
      </c>
    </row>
    <row r="11" customFormat="false" ht="15" hidden="false" customHeight="false" outlineLevel="0" collapsed="false">
      <c r="B11" s="5" t="s">
        <v>96</v>
      </c>
      <c r="C11" s="19" t="n">
        <f aca="false">C9*C10</f>
        <v>1260</v>
      </c>
    </row>
    <row r="12" customFormat="false" ht="15" hidden="false" customHeight="false" outlineLevel="0" collapsed="false">
      <c r="B12" s="5" t="s">
        <v>66</v>
      </c>
      <c r="C12" s="20" t="n">
        <f aca="false">Assumptions!C34</f>
        <v>0.7</v>
      </c>
    </row>
    <row r="13" customFormat="false" ht="15" hidden="false" customHeight="false" outlineLevel="0" collapsed="false">
      <c r="B13" s="5" t="s">
        <v>97</v>
      </c>
      <c r="C13" s="19" t="n">
        <f aca="false">C11*C12</f>
        <v>882</v>
      </c>
    </row>
    <row r="14" customFormat="false" ht="15" hidden="false" customHeight="false" outlineLevel="0" collapsed="false">
      <c r="B14" s="11" t="s">
        <v>98</v>
      </c>
      <c r="C14" s="11"/>
      <c r="D14" s="11"/>
    </row>
    <row r="15" customFormat="false" ht="15" hidden="false" customHeight="false" outlineLevel="0" collapsed="false">
      <c r="B15" s="5" t="s">
        <v>99</v>
      </c>
      <c r="C15" s="20" t="n">
        <f aca="false">Assumptions!C35</f>
        <v>0.12</v>
      </c>
    </row>
    <row r="16" customFormat="false" ht="15" hidden="false" customHeight="false" outlineLevel="0" collapsed="false">
      <c r="B16" s="5" t="s">
        <v>100</v>
      </c>
      <c r="C16" s="19" t="n">
        <f aca="false">C13*C15</f>
        <v>105.84</v>
      </c>
    </row>
    <row r="17" customFormat="false" ht="15" hidden="false" customHeight="false" outlineLevel="0" collapsed="false">
      <c r="B17" s="5" t="s">
        <v>101</v>
      </c>
      <c r="C17" s="21" t="n">
        <f aca="false">Assumptions!C36</f>
        <v>40</v>
      </c>
    </row>
    <row r="18" customFormat="false" ht="15" hidden="false" customHeight="false" outlineLevel="0" collapsed="false">
      <c r="B18" s="5" t="s">
        <v>102</v>
      </c>
      <c r="C18" s="22" t="n">
        <f aca="false">C16*C17</f>
        <v>4233.6</v>
      </c>
    </row>
    <row r="19" customFormat="false" ht="15" hidden="false" customHeight="false" outlineLevel="0" collapsed="false">
      <c r="B19" s="5" t="s">
        <v>103</v>
      </c>
      <c r="C19" s="20" t="n">
        <f aca="false">Assumptions!C37</f>
        <v>0.035</v>
      </c>
    </row>
    <row r="20" customFormat="false" ht="15" hidden="false" customHeight="false" outlineLevel="0" collapsed="false">
      <c r="B20" s="5" t="s">
        <v>104</v>
      </c>
      <c r="C20" s="19" t="n">
        <f aca="false">C13*C19</f>
        <v>30.87</v>
      </c>
    </row>
    <row r="21" customFormat="false" ht="15" hidden="false" customHeight="false" outlineLevel="0" collapsed="false">
      <c r="B21" s="5" t="s">
        <v>105</v>
      </c>
      <c r="C21" s="21" t="n">
        <f aca="false">Assumptions!C38</f>
        <v>300</v>
      </c>
    </row>
    <row r="22" customFormat="false" ht="15" hidden="false" customHeight="false" outlineLevel="0" collapsed="false">
      <c r="B22" s="5" t="s">
        <v>106</v>
      </c>
      <c r="C22" s="22" t="n">
        <f aca="false">C20*C21</f>
        <v>9261</v>
      </c>
    </row>
    <row r="23" customFormat="false" ht="15" hidden="false" customHeight="false" outlineLevel="0" collapsed="false">
      <c r="B23" s="5" t="s">
        <v>107</v>
      </c>
      <c r="C23" s="23" t="n">
        <f aca="false">C18+C22</f>
        <v>13494.6</v>
      </c>
    </row>
    <row r="25" customFormat="false" ht="15" hidden="false" customHeight="false" outlineLevel="0" collapsed="false">
      <c r="B25" s="11" t="s">
        <v>108</v>
      </c>
      <c r="C25" s="11"/>
      <c r="D25" s="11"/>
    </row>
    <row r="26" customFormat="false" ht="15" hidden="false" customHeight="false" outlineLevel="0" collapsed="false">
      <c r="B26" s="5" t="s">
        <v>109</v>
      </c>
      <c r="C26" s="22" t="n">
        <f aca="false">Assumptions!C39*C18</f>
        <v>2116.8</v>
      </c>
    </row>
    <row r="27" customFormat="false" ht="15" hidden="false" customHeight="false" outlineLevel="0" collapsed="false">
      <c r="B27" s="5" t="s">
        <v>110</v>
      </c>
      <c r="C27" s="22" t="n">
        <f aca="false">Assumptions!C40*C22</f>
        <v>2778.3</v>
      </c>
    </row>
    <row r="28" customFormat="false" ht="15" hidden="false" customHeight="false" outlineLevel="0" collapsed="false">
      <c r="B28" s="5" t="s">
        <v>111</v>
      </c>
      <c r="C28" s="23" t="n">
        <f aca="false">C26+C27</f>
        <v>4895.1</v>
      </c>
    </row>
    <row r="29" customFormat="false" ht="15" hidden="false" customHeight="false" outlineLevel="0" collapsed="false">
      <c r="B29" s="5" t="s">
        <v>112</v>
      </c>
      <c r="C29" s="22" t="n">
        <f aca="false">Assumptions!C41</f>
        <v>2300</v>
      </c>
    </row>
    <row r="30" customFormat="false" ht="15" hidden="false" customHeight="false" outlineLevel="0" collapsed="false">
      <c r="B30" s="5" t="s">
        <v>113</v>
      </c>
      <c r="C30" s="23" t="n">
        <f aca="false">C28-C29</f>
        <v>2595.1</v>
      </c>
    </row>
    <row r="31" customFormat="false" ht="15" hidden="false" customHeight="false" outlineLevel="0" collapsed="false">
      <c r="B31" s="5" t="s">
        <v>114</v>
      </c>
      <c r="C31" s="23" t="n">
        <f aca="false">C23-C28</f>
        <v>8599.5</v>
      </c>
    </row>
  </sheetData>
  <mergeCells count="4">
    <mergeCell ref="B2:D2"/>
    <mergeCell ref="B3:D3"/>
    <mergeCell ref="B14:D1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5" min="3" style="0" width="11"/>
  </cols>
  <sheetData>
    <row r="2" customFormat="false" ht="15" hidden="false" customHeight="false" outlineLevel="0" collapsed="false">
      <c r="B2" s="10" t="s">
        <v>115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customFormat="false" ht="15" hidden="false" customHeight="false" outlineLevel="0" collapsed="false">
      <c r="C4" s="24" t="s">
        <v>116</v>
      </c>
      <c r="D4" s="24" t="s">
        <v>117</v>
      </c>
      <c r="E4" s="24" t="s">
        <v>118</v>
      </c>
      <c r="F4" s="24" t="s">
        <v>119</v>
      </c>
      <c r="G4" s="24" t="s">
        <v>120</v>
      </c>
      <c r="H4" s="24" t="s">
        <v>121</v>
      </c>
      <c r="I4" s="24" t="s">
        <v>122</v>
      </c>
      <c r="J4" s="24" t="s">
        <v>123</v>
      </c>
      <c r="K4" s="24" t="s">
        <v>124</v>
      </c>
      <c r="L4" s="24" t="s">
        <v>125</v>
      </c>
      <c r="M4" s="24" t="s">
        <v>126</v>
      </c>
      <c r="N4" s="24" t="s">
        <v>127</v>
      </c>
      <c r="O4" s="24" t="s">
        <v>128</v>
      </c>
    </row>
    <row r="5" customFormat="false" ht="15" hidden="false" customHeight="false" outlineLevel="0" collapsed="false">
      <c r="B5" s="11" t="s">
        <v>129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customFormat="false" ht="15" hidden="false" customHeight="false" outlineLevel="0" collapsed="false">
      <c r="B6" s="0" t="s">
        <v>130</v>
      </c>
      <c r="C6" s="13" t="n">
        <v>1</v>
      </c>
      <c r="D6" s="13" t="n">
        <v>1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</row>
    <row r="7" customFormat="false" ht="15" hidden="false" customHeight="false" outlineLevel="0" collapsed="false">
      <c r="B7" s="0" t="s">
        <v>131</v>
      </c>
      <c r="C7" s="13" t="n">
        <v>0</v>
      </c>
      <c r="D7" s="13" t="n">
        <v>0</v>
      </c>
      <c r="E7" s="13" t="n">
        <v>1</v>
      </c>
      <c r="F7" s="13" t="n">
        <v>1</v>
      </c>
      <c r="G7" s="13" t="n">
        <v>1</v>
      </c>
      <c r="H7" s="13" t="n">
        <v>1</v>
      </c>
      <c r="I7" s="13" t="n">
        <v>1</v>
      </c>
      <c r="J7" s="13" t="n">
        <v>1</v>
      </c>
      <c r="K7" s="13" t="n">
        <v>1</v>
      </c>
      <c r="L7" s="13" t="n">
        <v>1</v>
      </c>
      <c r="M7" s="13" t="n">
        <v>2</v>
      </c>
      <c r="N7" s="13" t="n">
        <v>2</v>
      </c>
    </row>
    <row r="8" customFormat="false" ht="15" hidden="false" customHeight="false" outlineLevel="0" collapsed="false">
      <c r="B8" s="0" t="s">
        <v>132</v>
      </c>
      <c r="C8" s="13" t="n">
        <v>0</v>
      </c>
      <c r="D8" s="13" t="n">
        <v>0</v>
      </c>
      <c r="E8" s="13" t="n">
        <v>500</v>
      </c>
      <c r="F8" s="13" t="n">
        <v>1200</v>
      </c>
      <c r="G8" s="13" t="n">
        <v>2200</v>
      </c>
      <c r="H8" s="13" t="n">
        <v>3300</v>
      </c>
      <c r="I8" s="13" t="n">
        <v>4500</v>
      </c>
      <c r="J8" s="13" t="n">
        <v>5800</v>
      </c>
      <c r="K8" s="13" t="n">
        <v>7000</v>
      </c>
      <c r="L8" s="13" t="n">
        <v>8200</v>
      </c>
      <c r="M8" s="13" t="n">
        <v>9100</v>
      </c>
      <c r="N8" s="13" t="n">
        <v>10000</v>
      </c>
    </row>
    <row r="9" customFormat="false" ht="15" hidden="false" customHeight="false" outlineLevel="0" collapsed="false">
      <c r="B9" s="0" t="s">
        <v>133</v>
      </c>
      <c r="C9" s="19" t="n">
        <f aca="false">C7*C8</f>
        <v>0</v>
      </c>
      <c r="D9" s="19" t="n">
        <f aca="false">D7*D8</f>
        <v>0</v>
      </c>
      <c r="E9" s="19" t="n">
        <f aca="false">E7*E8</f>
        <v>500</v>
      </c>
      <c r="F9" s="19" t="n">
        <f aca="false">F7*F8</f>
        <v>1200</v>
      </c>
      <c r="G9" s="19" t="n">
        <f aca="false">G7*G8</f>
        <v>2200</v>
      </c>
      <c r="H9" s="19" t="n">
        <f aca="false">H7*H8</f>
        <v>3300</v>
      </c>
      <c r="I9" s="19" t="n">
        <f aca="false">I7*I8</f>
        <v>4500</v>
      </c>
      <c r="J9" s="19" t="n">
        <f aca="false">J7*J8</f>
        <v>5800</v>
      </c>
      <c r="K9" s="19" t="n">
        <f aca="false">K7*K8</f>
        <v>7000</v>
      </c>
      <c r="L9" s="19" t="n">
        <f aca="false">L7*L8</f>
        <v>8200</v>
      </c>
      <c r="M9" s="19" t="n">
        <f aca="false">M7*M8</f>
        <v>18200</v>
      </c>
      <c r="N9" s="19" t="n">
        <f aca="false">N7*N8</f>
        <v>20000</v>
      </c>
      <c r="O9" s="14" t="n">
        <f aca="false">SUM(C9:N9)</f>
        <v>70900</v>
      </c>
    </row>
    <row r="11" customFormat="false" ht="15" hidden="false" customHeight="false" outlineLevel="0" collapsed="false">
      <c r="B11" s="11" t="s">
        <v>134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customFormat="false" ht="15" hidden="false" customHeight="false" outlineLevel="0" collapsed="false">
      <c r="B12" s="0" t="s">
        <v>135</v>
      </c>
      <c r="C12" s="22" t="n">
        <f aca="false">C7*Assumptions!$C$13</f>
        <v>0</v>
      </c>
      <c r="D12" s="22" t="n">
        <f aca="false">D7*Assumptions!$C$13</f>
        <v>0</v>
      </c>
      <c r="E12" s="22" t="n">
        <f aca="false">E7*Assumptions!$C$13</f>
        <v>2500</v>
      </c>
      <c r="F12" s="22" t="n">
        <f aca="false">F7*Assumptions!$C$13</f>
        <v>2500</v>
      </c>
      <c r="G12" s="22" t="n">
        <f aca="false">G7*Assumptions!$C$13</f>
        <v>2500</v>
      </c>
      <c r="H12" s="22" t="n">
        <f aca="false">H7*Assumptions!$C$13</f>
        <v>2500</v>
      </c>
      <c r="I12" s="22" t="n">
        <f aca="false">I7*Assumptions!$C$13</f>
        <v>2500</v>
      </c>
      <c r="J12" s="22" t="n">
        <f aca="false">J7*Assumptions!$C$13</f>
        <v>2500</v>
      </c>
      <c r="K12" s="22" t="n">
        <f aca="false">K7*Assumptions!$C$13</f>
        <v>2500</v>
      </c>
      <c r="L12" s="22" t="n">
        <f aca="false">L7*Assumptions!$C$13</f>
        <v>2500</v>
      </c>
      <c r="M12" s="22" t="n">
        <f aca="false">M7*Assumptions!$C$13</f>
        <v>5000</v>
      </c>
      <c r="N12" s="22" t="n">
        <f aca="false">N7*Assumptions!$C$13</f>
        <v>5000</v>
      </c>
      <c r="O12" s="23" t="n">
        <f aca="false">SUM(C12:N12)</f>
        <v>30000</v>
      </c>
    </row>
    <row r="13" customFormat="false" ht="15" hidden="false" customHeight="false" outlineLevel="0" collapsed="false">
      <c r="B13" s="0" t="s">
        <v>136</v>
      </c>
      <c r="C13" s="15" t="n">
        <v>0</v>
      </c>
      <c r="D13" s="15" t="n">
        <v>0</v>
      </c>
      <c r="E13" s="15" t="n">
        <v>5000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5000</v>
      </c>
      <c r="N13" s="15" t="n">
        <v>0</v>
      </c>
      <c r="O13" s="23" t="n">
        <f aca="false">SUM(C13:N13)</f>
        <v>10000</v>
      </c>
    </row>
    <row r="14" customFormat="false" ht="15" hidden="false" customHeight="false" outlineLevel="0" collapsed="false">
      <c r="B14" s="0" t="s">
        <v>137</v>
      </c>
      <c r="C14" s="22" t="n">
        <f aca="false">C9*Assumptions!$C$18*Assumptions!$C$23</f>
        <v>0</v>
      </c>
      <c r="D14" s="22" t="n">
        <f aca="false">D9*Assumptions!$C$18*Assumptions!$C$23</f>
        <v>0</v>
      </c>
      <c r="E14" s="22" t="n">
        <f aca="false">E9*Assumptions!$C$18*Assumptions!$C$23</f>
        <v>840</v>
      </c>
      <c r="F14" s="22" t="n">
        <f aca="false">F9*Assumptions!$C$18*Assumptions!$C$23</f>
        <v>2016</v>
      </c>
      <c r="G14" s="22" t="n">
        <f aca="false">G9*Assumptions!$C$18*Assumptions!$C$23</f>
        <v>3696</v>
      </c>
      <c r="H14" s="22" t="n">
        <f aca="false">H9*Assumptions!$C$18*Assumptions!$C$23</f>
        <v>5544</v>
      </c>
      <c r="I14" s="22" t="n">
        <f aca="false">I9*Assumptions!$C$18*Assumptions!$C$23</f>
        <v>7560</v>
      </c>
      <c r="J14" s="22" t="n">
        <f aca="false">J9*Assumptions!$C$18*Assumptions!$C$23</f>
        <v>9744</v>
      </c>
      <c r="K14" s="22" t="n">
        <f aca="false">K9*Assumptions!$C$18*Assumptions!$C$23</f>
        <v>11760</v>
      </c>
      <c r="L14" s="22" t="n">
        <f aca="false">L9*Assumptions!$C$18*Assumptions!$C$23</f>
        <v>13776</v>
      </c>
      <c r="M14" s="22" t="n">
        <f aca="false">M9*Assumptions!$C$18*Assumptions!$C$23</f>
        <v>30576</v>
      </c>
      <c r="N14" s="22" t="n">
        <f aca="false">N9*Assumptions!$C$18*Assumptions!$C$23</f>
        <v>33600</v>
      </c>
      <c r="O14" s="23" t="n">
        <f aca="false">SUM(C14:N14)</f>
        <v>119112</v>
      </c>
    </row>
    <row r="15" customFormat="false" ht="15" hidden="false" customHeight="false" outlineLevel="0" collapsed="false">
      <c r="B15" s="0" t="s">
        <v>138</v>
      </c>
      <c r="C15" s="22" t="n">
        <f aca="false">C9*Assumptions!$C$19*Assumptions!$C$24</f>
        <v>0</v>
      </c>
      <c r="D15" s="22" t="n">
        <f aca="false">D9*Assumptions!$C$19*Assumptions!$C$24</f>
        <v>0</v>
      </c>
      <c r="E15" s="22" t="n">
        <f aca="false">E9*Assumptions!$C$19*Assumptions!$C$24</f>
        <v>375</v>
      </c>
      <c r="F15" s="22" t="n">
        <f aca="false">F9*Assumptions!$C$19*Assumptions!$C$24</f>
        <v>900</v>
      </c>
      <c r="G15" s="22" t="n">
        <f aca="false">G9*Assumptions!$C$19*Assumptions!$C$24</f>
        <v>1650</v>
      </c>
      <c r="H15" s="22" t="n">
        <f aca="false">H9*Assumptions!$C$19*Assumptions!$C$24</f>
        <v>2475</v>
      </c>
      <c r="I15" s="22" t="n">
        <f aca="false">I9*Assumptions!$C$19*Assumptions!$C$24</f>
        <v>3375</v>
      </c>
      <c r="J15" s="22" t="n">
        <f aca="false">J9*Assumptions!$C$19*Assumptions!$C$24</f>
        <v>4350</v>
      </c>
      <c r="K15" s="22" t="n">
        <f aca="false">K9*Assumptions!$C$19*Assumptions!$C$24</f>
        <v>5250</v>
      </c>
      <c r="L15" s="22" t="n">
        <f aca="false">L9*Assumptions!$C$19*Assumptions!$C$24</f>
        <v>6150</v>
      </c>
      <c r="M15" s="22" t="n">
        <f aca="false">M9*Assumptions!$C$19*Assumptions!$C$24</f>
        <v>13650</v>
      </c>
      <c r="N15" s="22" t="n">
        <f aca="false">N9*Assumptions!$C$19*Assumptions!$C$24</f>
        <v>15000</v>
      </c>
      <c r="O15" s="23" t="n">
        <f aca="false">SUM(C15:N15)</f>
        <v>53175</v>
      </c>
    </row>
    <row r="16" customFormat="false" ht="15" hidden="false" customHeight="false" outlineLevel="0" collapsed="false">
      <c r="B16" s="0" t="s">
        <v>139</v>
      </c>
      <c r="C16" s="22" t="n">
        <f aca="false">IF(C8&gt;2000,C7*Assumptions!$C$20*Assumptions!$C$25,0)</f>
        <v>0</v>
      </c>
      <c r="D16" s="22" t="n">
        <f aca="false">IF(D8&gt;2000,D7*Assumptions!$C$20*Assumptions!$C$25,0)</f>
        <v>0</v>
      </c>
      <c r="E16" s="22" t="n">
        <f aca="false">IF(E8&gt;2000,E7*Assumptions!$C$20*Assumptions!$C$25,0)</f>
        <v>0</v>
      </c>
      <c r="F16" s="22" t="n">
        <f aca="false">IF(F8&gt;2000,F7*Assumptions!$C$20*Assumptions!$C$25,0)</f>
        <v>0</v>
      </c>
      <c r="G16" s="22" t="n">
        <f aca="false">IF(G8&gt;2000,G7*Assumptions!$C$20*Assumptions!$C$25,0)</f>
        <v>2100</v>
      </c>
      <c r="H16" s="22" t="n">
        <f aca="false">IF(H8&gt;2000,H7*Assumptions!$C$20*Assumptions!$C$25,0)</f>
        <v>2100</v>
      </c>
      <c r="I16" s="22" t="n">
        <f aca="false">IF(I8&gt;2000,I7*Assumptions!$C$20*Assumptions!$C$25,0)</f>
        <v>2100</v>
      </c>
      <c r="J16" s="22" t="n">
        <f aca="false">IF(J8&gt;2000,J7*Assumptions!$C$20*Assumptions!$C$25,0)</f>
        <v>2100</v>
      </c>
      <c r="K16" s="22" t="n">
        <f aca="false">IF(K8&gt;2000,K7*Assumptions!$C$20*Assumptions!$C$25,0)</f>
        <v>2100</v>
      </c>
      <c r="L16" s="22" t="n">
        <f aca="false">IF(L8&gt;2000,L7*Assumptions!$C$20*Assumptions!$C$25,0)</f>
        <v>2100</v>
      </c>
      <c r="M16" s="22" t="n">
        <f aca="false">IF(M8&gt;2000,M7*Assumptions!$C$20*Assumptions!$C$25,0)</f>
        <v>4200</v>
      </c>
      <c r="N16" s="22" t="n">
        <f aca="false">IF(N8&gt;2000,N7*Assumptions!$C$20*Assumptions!$C$25,0)</f>
        <v>4200</v>
      </c>
      <c r="O16" s="23" t="n">
        <f aca="false">SUM(C16:N16)</f>
        <v>21000</v>
      </c>
    </row>
    <row r="17" customFormat="false" ht="15" hidden="false" customHeight="false" outlineLevel="0" collapsed="false">
      <c r="B17" s="0" t="s">
        <v>140</v>
      </c>
      <c r="C17" s="22" t="n">
        <f aca="false">C9*Assumptions!$C$21*Assumptions!$C$22*Assumptions!$C$26</f>
        <v>0</v>
      </c>
      <c r="D17" s="22" t="n">
        <f aca="false">D9*Assumptions!$C$21*Assumptions!$C$22*Assumptions!$C$26</f>
        <v>0</v>
      </c>
      <c r="E17" s="22" t="n">
        <f aca="false">E9*Assumptions!$C$21*Assumptions!$C$22*Assumptions!$C$26</f>
        <v>149.85</v>
      </c>
      <c r="F17" s="22" t="n">
        <f aca="false">F9*Assumptions!$C$21*Assumptions!$C$22*Assumptions!$C$26</f>
        <v>359.64</v>
      </c>
      <c r="G17" s="22" t="n">
        <f aca="false">G9*Assumptions!$C$21*Assumptions!$C$22*Assumptions!$C$26</f>
        <v>659.34</v>
      </c>
      <c r="H17" s="22" t="n">
        <f aca="false">H9*Assumptions!$C$21*Assumptions!$C$22*Assumptions!$C$26</f>
        <v>989.01</v>
      </c>
      <c r="I17" s="22" t="n">
        <f aca="false">I9*Assumptions!$C$21*Assumptions!$C$22*Assumptions!$C$26</f>
        <v>1348.65</v>
      </c>
      <c r="J17" s="22" t="n">
        <f aca="false">J9*Assumptions!$C$21*Assumptions!$C$22*Assumptions!$C$26</f>
        <v>1738.26</v>
      </c>
      <c r="K17" s="22" t="n">
        <f aca="false">K9*Assumptions!$C$21*Assumptions!$C$22*Assumptions!$C$26</f>
        <v>2097.9</v>
      </c>
      <c r="L17" s="22" t="n">
        <f aca="false">L9*Assumptions!$C$21*Assumptions!$C$22*Assumptions!$C$26</f>
        <v>2457.54</v>
      </c>
      <c r="M17" s="22" t="n">
        <f aca="false">M9*Assumptions!$C$21*Assumptions!$C$22*Assumptions!$C$26</f>
        <v>5454.54</v>
      </c>
      <c r="N17" s="22" t="n">
        <f aca="false">N9*Assumptions!$C$21*Assumptions!$C$22*Assumptions!$C$26</f>
        <v>5994</v>
      </c>
      <c r="O17" s="23" t="n">
        <f aca="false">SUM(C17:N17)</f>
        <v>21248.73</v>
      </c>
    </row>
    <row r="18" customFormat="false" ht="15" hidden="false" customHeight="false" outlineLevel="0" collapsed="false">
      <c r="B18" s="0" t="s">
        <v>141</v>
      </c>
      <c r="C18" s="21" t="n">
        <v>4817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3" t="n">
        <f aca="false">SUM(C18:N18)</f>
        <v>4817</v>
      </c>
    </row>
    <row r="19" customFormat="false" ht="15" hidden="false" customHeight="false" outlineLevel="0" collapsed="false">
      <c r="B19" s="0" t="s">
        <v>142</v>
      </c>
      <c r="C19" s="23" t="n">
        <f aca="false">SUM(C12:C18)</f>
        <v>4817</v>
      </c>
      <c r="D19" s="23" t="n">
        <f aca="false">SUM(D12:D18)</f>
        <v>0</v>
      </c>
      <c r="E19" s="23" t="n">
        <f aca="false">SUM(E12:E18)</f>
        <v>8864.85</v>
      </c>
      <c r="F19" s="23" t="n">
        <f aca="false">SUM(F12:F18)</f>
        <v>5775.64</v>
      </c>
      <c r="G19" s="23" t="n">
        <f aca="false">SUM(G12:G18)</f>
        <v>10605.34</v>
      </c>
      <c r="H19" s="23" t="n">
        <f aca="false">SUM(H12:H18)</f>
        <v>13608.01</v>
      </c>
      <c r="I19" s="23" t="n">
        <f aca="false">SUM(I12:I18)</f>
        <v>16883.65</v>
      </c>
      <c r="J19" s="23" t="n">
        <f aca="false">SUM(J12:J18)</f>
        <v>20432.26</v>
      </c>
      <c r="K19" s="23" t="n">
        <f aca="false">SUM(K12:K18)</f>
        <v>23707.9</v>
      </c>
      <c r="L19" s="23" t="n">
        <f aca="false">SUM(L12:L18)</f>
        <v>26983.54</v>
      </c>
      <c r="M19" s="23" t="n">
        <f aca="false">SUM(M12:M18)</f>
        <v>63880.54</v>
      </c>
      <c r="N19" s="23" t="n">
        <f aca="false">SUM(N12:N18)</f>
        <v>63794</v>
      </c>
      <c r="O19" s="23" t="n">
        <f aca="false">SUM(O12:O18)</f>
        <v>259352.73</v>
      </c>
    </row>
    <row r="21" customFormat="false" ht="15" hidden="false" customHeight="false" outlineLevel="0" collapsed="false">
      <c r="B21" s="11" t="s">
        <v>143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customFormat="false" ht="15" hidden="false" customHeight="false" outlineLevel="0" collapsed="false">
      <c r="B22" s="0" t="s">
        <v>144</v>
      </c>
      <c r="C22" s="22" t="n">
        <f aca="false">C9*Assumptions!$C$44</f>
        <v>0</v>
      </c>
      <c r="D22" s="22" t="n">
        <f aca="false">D9*Assumptions!$C$44</f>
        <v>0</v>
      </c>
      <c r="E22" s="22" t="n">
        <f aca="false">E9*Assumptions!$C$44</f>
        <v>320</v>
      </c>
      <c r="F22" s="22" t="n">
        <f aca="false">F9*Assumptions!$C$44</f>
        <v>768</v>
      </c>
      <c r="G22" s="22" t="n">
        <f aca="false">G9*Assumptions!$C$44</f>
        <v>1408</v>
      </c>
      <c r="H22" s="22" t="n">
        <f aca="false">H9*Assumptions!$C$44</f>
        <v>2112</v>
      </c>
      <c r="I22" s="22" t="n">
        <f aca="false">I9*Assumptions!$C$44</f>
        <v>2880</v>
      </c>
      <c r="J22" s="22" t="n">
        <f aca="false">J9*Assumptions!$C$44</f>
        <v>3712</v>
      </c>
      <c r="K22" s="22" t="n">
        <f aca="false">K9*Assumptions!$C$44</f>
        <v>4480</v>
      </c>
      <c r="L22" s="22" t="n">
        <f aca="false">L9*Assumptions!$C$44</f>
        <v>5248</v>
      </c>
      <c r="M22" s="22" t="n">
        <f aca="false">M9*Assumptions!$C$44</f>
        <v>11648</v>
      </c>
      <c r="N22" s="22" t="n">
        <f aca="false">N9*Assumptions!$C$44</f>
        <v>12800</v>
      </c>
      <c r="O22" s="23" t="n">
        <f aca="false">SUM(C22:N22)</f>
        <v>45376</v>
      </c>
    </row>
    <row r="23" customFormat="false" ht="15" hidden="false" customHeight="false" outlineLevel="0" collapsed="false">
      <c r="B23" s="0" t="s">
        <v>145</v>
      </c>
      <c r="C23" s="22" t="n">
        <f aca="false">Assumptions!$C$45</f>
        <v>800</v>
      </c>
      <c r="D23" s="22" t="n">
        <f aca="false">Assumptions!$C$45</f>
        <v>800</v>
      </c>
      <c r="E23" s="22" t="n">
        <f aca="false">Assumptions!$C$45</f>
        <v>800</v>
      </c>
      <c r="F23" s="22" t="n">
        <f aca="false">Assumptions!$C$45</f>
        <v>800</v>
      </c>
      <c r="G23" s="22" t="n">
        <f aca="false">Assumptions!$C$45</f>
        <v>800</v>
      </c>
      <c r="H23" s="22" t="n">
        <f aca="false">Assumptions!$C$45</f>
        <v>800</v>
      </c>
      <c r="I23" s="22" t="n">
        <f aca="false">Assumptions!$C$45</f>
        <v>800</v>
      </c>
      <c r="J23" s="22" t="n">
        <f aca="false">Assumptions!$C$45</f>
        <v>800</v>
      </c>
      <c r="K23" s="22" t="n">
        <f aca="false">Assumptions!$C$45</f>
        <v>800</v>
      </c>
      <c r="L23" s="22" t="n">
        <f aca="false">Assumptions!$C$45</f>
        <v>800</v>
      </c>
      <c r="M23" s="22" t="n">
        <f aca="false">Assumptions!$C$45</f>
        <v>800</v>
      </c>
      <c r="N23" s="22" t="n">
        <f aca="false">Assumptions!$C$45</f>
        <v>800</v>
      </c>
      <c r="O23" s="23" t="n">
        <f aca="false">SUM(C23:N23)</f>
        <v>9600</v>
      </c>
    </row>
    <row r="24" customFormat="false" ht="15" hidden="false" customHeight="false" outlineLevel="0" collapsed="false">
      <c r="B24" s="0" t="s">
        <v>146</v>
      </c>
      <c r="C24" s="23" t="n">
        <f aca="false">SUM(C22:C23)</f>
        <v>800</v>
      </c>
      <c r="D24" s="23" t="n">
        <f aca="false">SUM(D22:D23)</f>
        <v>800</v>
      </c>
      <c r="E24" s="23" t="n">
        <f aca="false">SUM(E22:E23)</f>
        <v>1120</v>
      </c>
      <c r="F24" s="23" t="n">
        <f aca="false">SUM(F22:F23)</f>
        <v>1568</v>
      </c>
      <c r="G24" s="23" t="n">
        <f aca="false">SUM(G22:G23)</f>
        <v>2208</v>
      </c>
      <c r="H24" s="23" t="n">
        <f aca="false">SUM(H22:H23)</f>
        <v>2912</v>
      </c>
      <c r="I24" s="23" t="n">
        <f aca="false">SUM(I22:I23)</f>
        <v>3680</v>
      </c>
      <c r="J24" s="23" t="n">
        <f aca="false">SUM(J22:J23)</f>
        <v>4512</v>
      </c>
      <c r="K24" s="23" t="n">
        <f aca="false">SUM(K22:K23)</f>
        <v>5280</v>
      </c>
      <c r="L24" s="23" t="n">
        <f aca="false">SUM(L22:L23)</f>
        <v>6048</v>
      </c>
      <c r="M24" s="23" t="n">
        <f aca="false">SUM(M22:M23)</f>
        <v>12448</v>
      </c>
      <c r="N24" s="23" t="n">
        <f aca="false">SUM(N22:N23)</f>
        <v>13600</v>
      </c>
      <c r="O24" s="23" t="n">
        <f aca="false">SUM(O22:O23)</f>
        <v>54976</v>
      </c>
    </row>
    <row r="25" customFormat="false" ht="15" hidden="false" customHeight="false" outlineLevel="0" collapsed="false">
      <c r="B25" s="0" t="s">
        <v>147</v>
      </c>
      <c r="C25" s="23" t="n">
        <f aca="false">C19-C24</f>
        <v>4017</v>
      </c>
      <c r="D25" s="23" t="n">
        <f aca="false">D19-D24</f>
        <v>-800</v>
      </c>
      <c r="E25" s="23" t="n">
        <f aca="false">E19-E24</f>
        <v>7744.85</v>
      </c>
      <c r="F25" s="23" t="n">
        <f aca="false">F19-F24</f>
        <v>4207.64</v>
      </c>
      <c r="G25" s="23" t="n">
        <f aca="false">G19-G24</f>
        <v>8397.34</v>
      </c>
      <c r="H25" s="23" t="n">
        <f aca="false">H19-H24</f>
        <v>10696.01</v>
      </c>
      <c r="I25" s="23" t="n">
        <f aca="false">I19-I24</f>
        <v>13203.65</v>
      </c>
      <c r="J25" s="23" t="n">
        <f aca="false">J19-J24</f>
        <v>15920.26</v>
      </c>
      <c r="K25" s="23" t="n">
        <f aca="false">K19-K24</f>
        <v>18427.9</v>
      </c>
      <c r="L25" s="23" t="n">
        <f aca="false">L19-L24</f>
        <v>20935.54</v>
      </c>
      <c r="M25" s="23" t="n">
        <f aca="false">M19-M24</f>
        <v>51432.54</v>
      </c>
      <c r="N25" s="23" t="n">
        <f aca="false">N19-N24</f>
        <v>50194</v>
      </c>
      <c r="O25" s="23" t="n">
        <f aca="false">O19-O24</f>
        <v>204376.73</v>
      </c>
    </row>
    <row r="26" customFormat="false" ht="15" hidden="false" customHeight="false" outlineLevel="0" collapsed="false">
      <c r="B26" s="0" t="s">
        <v>148</v>
      </c>
      <c r="C26" s="25" t="n">
        <f aca="false">IFERROR(C25/C19,0)</f>
        <v>0.833921527921943</v>
      </c>
      <c r="D26" s="25" t="n">
        <f aca="false">IFERROR(D25/D19,0)</f>
        <v>0</v>
      </c>
      <c r="E26" s="25" t="n">
        <f aca="false">IFERROR(E25/E19,0)</f>
        <v>0.873658324731947</v>
      </c>
      <c r="F26" s="25" t="n">
        <f aca="false">IFERROR(F25/F19,0)</f>
        <v>0.728514935141387</v>
      </c>
      <c r="G26" s="25" t="n">
        <f aca="false">IFERROR(G25/G19,0)</f>
        <v>0.791802997357935</v>
      </c>
      <c r="H26" s="25" t="n">
        <f aca="false">IFERROR(H25/H19,0)</f>
        <v>0.786008387706946</v>
      </c>
      <c r="I26" s="25" t="n">
        <f aca="false">IFERROR(I25/I19,0)</f>
        <v>0.782037651811072</v>
      </c>
      <c r="J26" s="25" t="n">
        <f aca="false">IFERROR(J25/J19,0)</f>
        <v>0.779172739579469</v>
      </c>
      <c r="K26" s="25" t="n">
        <f aca="false">IFERROR(K25/K19,0)</f>
        <v>0.777289426731174</v>
      </c>
      <c r="L26" s="25" t="n">
        <f aca="false">IFERROR(L25/L19,0)</f>
        <v>0.775863359662965</v>
      </c>
      <c r="M26" s="25" t="n">
        <f aca="false">IFERROR(M25/M19,0)</f>
        <v>0.805136274677703</v>
      </c>
      <c r="N26" s="25" t="n">
        <f aca="false">IFERROR(N25/N19,0)</f>
        <v>0.786813806941092</v>
      </c>
      <c r="O26" s="25" t="n">
        <f aca="false">IFERROR(O25/O19,0)</f>
        <v>0.788026137222462</v>
      </c>
    </row>
    <row r="28" customFormat="false" ht="15" hidden="false" customHeight="false" outlineLevel="0" collapsed="false">
      <c r="B28" s="11" t="s">
        <v>149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customFormat="false" ht="15" hidden="false" customHeight="false" outlineLevel="0" collapsed="false">
      <c r="B29" s="5" t="s">
        <v>150</v>
      </c>
      <c r="C29" s="22" t="n">
        <f aca="false">Assumptions!$C$48</f>
        <v>12000</v>
      </c>
      <c r="D29" s="22" t="n">
        <f aca="false">Assumptions!$C$48</f>
        <v>12000</v>
      </c>
      <c r="E29" s="22" t="n">
        <f aca="false">Assumptions!$C$48</f>
        <v>12000</v>
      </c>
      <c r="F29" s="22" t="n">
        <f aca="false">Assumptions!$C$48</f>
        <v>12000</v>
      </c>
      <c r="G29" s="22" t="n">
        <f aca="false">Assumptions!$C$48</f>
        <v>12000</v>
      </c>
      <c r="H29" s="22" t="n">
        <f aca="false">Assumptions!$C$48</f>
        <v>12000</v>
      </c>
      <c r="I29" s="22" t="n">
        <f aca="false">Assumptions!$C$48</f>
        <v>12000</v>
      </c>
      <c r="J29" s="22" t="n">
        <f aca="false">Assumptions!$C$48</f>
        <v>12000</v>
      </c>
      <c r="K29" s="22" t="n">
        <f aca="false">Assumptions!$C$48</f>
        <v>12000</v>
      </c>
      <c r="L29" s="22" t="n">
        <f aca="false">Assumptions!$C$48</f>
        <v>12000</v>
      </c>
      <c r="M29" s="22" t="n">
        <f aca="false">Assumptions!$C$48</f>
        <v>12000</v>
      </c>
      <c r="N29" s="22" t="n">
        <f aca="false">Assumptions!$C$48</f>
        <v>12000</v>
      </c>
      <c r="O29" s="23" t="n">
        <f aca="false">SUM(C29:N29)</f>
        <v>144000</v>
      </c>
    </row>
    <row r="30" customFormat="false" ht="15" hidden="false" customHeight="false" outlineLevel="0" collapsed="false">
      <c r="B30" s="5" t="s">
        <v>151</v>
      </c>
      <c r="C30" s="22" t="n">
        <f aca="false">Assumptions!$C$51</f>
        <v>1500</v>
      </c>
      <c r="D30" s="22" t="n">
        <f aca="false">Assumptions!$C$51</f>
        <v>1500</v>
      </c>
      <c r="E30" s="22" t="n">
        <f aca="false">Assumptions!$C$51</f>
        <v>1500</v>
      </c>
      <c r="F30" s="22" t="n">
        <f aca="false">Assumptions!$C$51</f>
        <v>1500</v>
      </c>
      <c r="G30" s="22" t="n">
        <f aca="false">Assumptions!$C$51</f>
        <v>1500</v>
      </c>
      <c r="H30" s="22" t="n">
        <f aca="false">Assumptions!$C$51</f>
        <v>1500</v>
      </c>
      <c r="I30" s="22" t="n">
        <f aca="false">Assumptions!$C$51</f>
        <v>1500</v>
      </c>
      <c r="J30" s="22" t="n">
        <f aca="false">Assumptions!$C$51</f>
        <v>1500</v>
      </c>
      <c r="K30" s="22" t="n">
        <f aca="false">Assumptions!$C$51</f>
        <v>1500</v>
      </c>
      <c r="L30" s="22" t="n">
        <f aca="false">Assumptions!$C$51</f>
        <v>1500</v>
      </c>
      <c r="M30" s="22" t="n">
        <f aca="false">Assumptions!$C$51</f>
        <v>1500</v>
      </c>
      <c r="N30" s="22" t="n">
        <f aca="false">Assumptions!$C$51</f>
        <v>1500</v>
      </c>
      <c r="O30" s="23" t="n">
        <f aca="false">SUM(C30:N30)</f>
        <v>18000</v>
      </c>
    </row>
    <row r="31" customFormat="false" ht="15" hidden="false" customHeight="false" outlineLevel="0" collapsed="false">
      <c r="B31" s="5" t="s">
        <v>152</v>
      </c>
      <c r="C31" s="22" t="n">
        <f aca="false">Assumptions!$C$54</f>
        <v>500</v>
      </c>
      <c r="D31" s="22" t="n">
        <f aca="false">Assumptions!$C$54</f>
        <v>500</v>
      </c>
      <c r="E31" s="22" t="n">
        <f aca="false">Assumptions!$C$54</f>
        <v>500</v>
      </c>
      <c r="F31" s="22" t="n">
        <f aca="false">Assumptions!$C$54</f>
        <v>500</v>
      </c>
      <c r="G31" s="22" t="n">
        <f aca="false">Assumptions!$C$54</f>
        <v>500</v>
      </c>
      <c r="H31" s="22" t="n">
        <f aca="false">Assumptions!$C$54</f>
        <v>500</v>
      </c>
      <c r="I31" s="22" t="n">
        <f aca="false">Assumptions!$C$54</f>
        <v>500</v>
      </c>
      <c r="J31" s="22" t="n">
        <f aca="false">Assumptions!$C$54</f>
        <v>500</v>
      </c>
      <c r="K31" s="22" t="n">
        <f aca="false">Assumptions!$C$54</f>
        <v>500</v>
      </c>
      <c r="L31" s="22" t="n">
        <f aca="false">Assumptions!$C$54</f>
        <v>500</v>
      </c>
      <c r="M31" s="22" t="n">
        <f aca="false">Assumptions!$C$54</f>
        <v>500</v>
      </c>
      <c r="N31" s="22" t="n">
        <f aca="false">Assumptions!$C$54</f>
        <v>500</v>
      </c>
      <c r="O31" s="23" t="n">
        <f aca="false">SUM(C31:N31)</f>
        <v>6000</v>
      </c>
    </row>
    <row r="32" customFormat="false" ht="15" hidden="false" customHeight="false" outlineLevel="0" collapsed="false">
      <c r="B32" s="0" t="s">
        <v>153</v>
      </c>
      <c r="C32" s="23" t="n">
        <f aca="false">SUM(C29:C31)</f>
        <v>14000</v>
      </c>
      <c r="D32" s="23" t="n">
        <f aca="false">SUM(D29:D31)</f>
        <v>14000</v>
      </c>
      <c r="E32" s="23" t="n">
        <f aca="false">SUM(E29:E31)</f>
        <v>14000</v>
      </c>
      <c r="F32" s="23" t="n">
        <f aca="false">SUM(F29:F31)</f>
        <v>14000</v>
      </c>
      <c r="G32" s="23" t="n">
        <f aca="false">SUM(G29:G31)</f>
        <v>14000</v>
      </c>
      <c r="H32" s="23" t="n">
        <f aca="false">SUM(H29:H31)</f>
        <v>14000</v>
      </c>
      <c r="I32" s="23" t="n">
        <f aca="false">SUM(I29:I31)</f>
        <v>14000</v>
      </c>
      <c r="J32" s="23" t="n">
        <f aca="false">SUM(J29:J31)</f>
        <v>14000</v>
      </c>
      <c r="K32" s="23" t="n">
        <f aca="false">SUM(K29:K31)</f>
        <v>14000</v>
      </c>
      <c r="L32" s="23" t="n">
        <f aca="false">SUM(L29:L31)</f>
        <v>14000</v>
      </c>
      <c r="M32" s="23" t="n">
        <f aca="false">SUM(M29:M31)</f>
        <v>14000</v>
      </c>
      <c r="N32" s="23" t="n">
        <f aca="false">SUM(N29:N31)</f>
        <v>14000</v>
      </c>
      <c r="O32" s="23" t="n">
        <f aca="false">SUM(O29:O31)</f>
        <v>168000</v>
      </c>
    </row>
    <row r="33" customFormat="false" ht="15" hidden="false" customHeight="false" outlineLevel="0" collapsed="false">
      <c r="B33" s="0" t="s">
        <v>154</v>
      </c>
      <c r="C33" s="23" t="n">
        <f aca="false">C25-C32</f>
        <v>-9983</v>
      </c>
      <c r="D33" s="23" t="n">
        <f aca="false">D25-D32</f>
        <v>-14800</v>
      </c>
      <c r="E33" s="23" t="n">
        <f aca="false">E25-E32</f>
        <v>-6255.15</v>
      </c>
      <c r="F33" s="23" t="n">
        <f aca="false">F25-F32</f>
        <v>-9792.36</v>
      </c>
      <c r="G33" s="23" t="n">
        <f aca="false">G25-G32</f>
        <v>-5602.66</v>
      </c>
      <c r="H33" s="23" t="n">
        <f aca="false">H25-H32</f>
        <v>-3303.99</v>
      </c>
      <c r="I33" s="23" t="n">
        <f aca="false">I25-I32</f>
        <v>-796.350000000002</v>
      </c>
      <c r="J33" s="23" t="n">
        <f aca="false">J25-J32</f>
        <v>1920.26</v>
      </c>
      <c r="K33" s="23" t="n">
        <f aca="false">K25-K32</f>
        <v>4427.9</v>
      </c>
      <c r="L33" s="23" t="n">
        <f aca="false">L25-L32</f>
        <v>6935.54</v>
      </c>
      <c r="M33" s="23" t="n">
        <f aca="false">M25-M32</f>
        <v>37432.54</v>
      </c>
      <c r="N33" s="23" t="n">
        <f aca="false">N25-N32</f>
        <v>36194</v>
      </c>
      <c r="O33" s="23" t="n">
        <f aca="false">O25-O32</f>
        <v>36376.73</v>
      </c>
    </row>
    <row r="34" customFormat="false" ht="15" hidden="false" customHeight="false" outlineLevel="0" collapsed="false">
      <c r="B34" s="0" t="s">
        <v>155</v>
      </c>
      <c r="C34" s="25" t="n">
        <f aca="false">IFERROR(C33/C19,0)</f>
        <v>-2.07245173344405</v>
      </c>
      <c r="D34" s="25" t="n">
        <f aca="false">IFERROR(D33/D19,0)</f>
        <v>0</v>
      </c>
      <c r="E34" s="25" t="n">
        <f aca="false">IFERROR(E33/E19,0)</f>
        <v>-0.705612616118716</v>
      </c>
      <c r="F34" s="25" t="n">
        <f aca="false">IFERROR(F33/F19,0)</f>
        <v>-1.69545885823909</v>
      </c>
      <c r="G34" s="25" t="n">
        <f aca="false">IFERROR(G33/G19,0)</f>
        <v>-0.528286693307334</v>
      </c>
      <c r="H34" s="25" t="n">
        <f aca="false">IFERROR(H33/H19,0)</f>
        <v>-0.242797440625044</v>
      </c>
      <c r="I34" s="25" t="n">
        <f aca="false">IFERROR(I33/I19,0)</f>
        <v>-0.0471669336902863</v>
      </c>
      <c r="J34" s="25" t="n">
        <f aca="false">IFERROR(J33/J19,0)</f>
        <v>0.0939817719625729</v>
      </c>
      <c r="K34" s="25" t="n">
        <f aca="false">IFERROR(K33/K19,0)</f>
        <v>0.186768967306257</v>
      </c>
      <c r="L34" s="25" t="n">
        <f aca="false">IFERROR(L33/L19,0)</f>
        <v>0.257028544067976</v>
      </c>
      <c r="M34" s="25" t="n">
        <f aca="false">IFERROR(M33/M19,0)</f>
        <v>0.585977200568436</v>
      </c>
      <c r="N34" s="25" t="n">
        <f aca="false">IFERROR(N33/N19,0)</f>
        <v>0.567357431733392</v>
      </c>
      <c r="O34" s="25" t="n">
        <f aca="false">IFERROR(O33/O19,0)</f>
        <v>0.140259676464559</v>
      </c>
    </row>
    <row r="36" customFormat="false" ht="15" hidden="false" customHeight="false" outlineLevel="0" collapsed="false">
      <c r="B36" s="26" t="s">
        <v>156</v>
      </c>
      <c r="C36" s="23" t="n">
        <f aca="false">C33</f>
        <v>-9983</v>
      </c>
      <c r="D36" s="23" t="n">
        <f aca="false">C36+D33</f>
        <v>-24783</v>
      </c>
      <c r="E36" s="23" t="n">
        <f aca="false">D36+E33</f>
        <v>-31038.15</v>
      </c>
      <c r="F36" s="23" t="n">
        <f aca="false">E36+F33</f>
        <v>-40830.51</v>
      </c>
      <c r="G36" s="23" t="n">
        <f aca="false">F36+G33</f>
        <v>-46433.17</v>
      </c>
      <c r="H36" s="23" t="n">
        <f aca="false">G36+H33</f>
        <v>-49737.16</v>
      </c>
      <c r="I36" s="23" t="n">
        <f aca="false">H36+I33</f>
        <v>-50533.51</v>
      </c>
      <c r="J36" s="23" t="n">
        <f aca="false">I36+J33</f>
        <v>-48613.25</v>
      </c>
      <c r="K36" s="23" t="n">
        <f aca="false">J36+K33</f>
        <v>-44185.35</v>
      </c>
      <c r="L36" s="23" t="n">
        <f aca="false">K36+L33</f>
        <v>-37249.81</v>
      </c>
      <c r="M36" s="23" t="n">
        <f aca="false">L36+M33</f>
        <v>182.729999999996</v>
      </c>
      <c r="N36" s="23" t="n">
        <f aca="false">M36+N33</f>
        <v>36376.73</v>
      </c>
      <c r="O36" s="23" t="n">
        <f aca="false">N36</f>
        <v>36376.73</v>
      </c>
    </row>
  </sheetData>
  <mergeCells count="5">
    <mergeCell ref="B2:O2"/>
    <mergeCell ref="B5:O5"/>
    <mergeCell ref="B11:O11"/>
    <mergeCell ref="B21:O21"/>
    <mergeCell ref="B28:O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11" min="3" style="0" width="13"/>
  </cols>
  <sheetData>
    <row r="2" customFormat="false" ht="15" hidden="false" customHeight="false" outlineLevel="0" collapsed="false">
      <c r="B2" s="10" t="s">
        <v>157</v>
      </c>
      <c r="C2" s="10"/>
      <c r="D2" s="10"/>
      <c r="E2" s="10"/>
      <c r="F2" s="10"/>
      <c r="G2" s="10"/>
      <c r="H2" s="10"/>
      <c r="I2" s="10"/>
      <c r="J2" s="10"/>
      <c r="K2" s="10"/>
    </row>
    <row r="4" customFormat="false" ht="15" hidden="false" customHeight="false" outlineLevel="0" collapsed="false">
      <c r="C4" s="24" t="s">
        <v>158</v>
      </c>
      <c r="D4" s="24" t="s">
        <v>159</v>
      </c>
      <c r="E4" s="24" t="s">
        <v>160</v>
      </c>
      <c r="F4" s="24" t="s">
        <v>161</v>
      </c>
      <c r="G4" s="24" t="s">
        <v>162</v>
      </c>
      <c r="H4" s="24" t="s">
        <v>163</v>
      </c>
      <c r="I4" s="24" t="s">
        <v>164</v>
      </c>
      <c r="J4" s="24" t="s">
        <v>165</v>
      </c>
      <c r="K4" s="24" t="s">
        <v>166</v>
      </c>
    </row>
    <row r="5" customFormat="false" ht="15" hidden="false" customHeight="false" outlineLevel="0" collapsed="false">
      <c r="B5" s="11" t="s">
        <v>129</v>
      </c>
      <c r="C5" s="11"/>
      <c r="D5" s="11"/>
      <c r="E5" s="11"/>
      <c r="F5" s="11"/>
      <c r="G5" s="11"/>
      <c r="H5" s="11"/>
      <c r="I5" s="11"/>
      <c r="J5" s="11"/>
      <c r="K5" s="11"/>
    </row>
    <row r="6" customFormat="false" ht="15" hidden="false" customHeight="false" outlineLevel="0" collapsed="false">
      <c r="B6" s="0" t="s">
        <v>131</v>
      </c>
      <c r="C6" s="13" t="n">
        <v>2</v>
      </c>
      <c r="D6" s="13" t="n">
        <v>3</v>
      </c>
      <c r="E6" s="13" t="n">
        <v>4</v>
      </c>
      <c r="F6" s="13" t="n">
        <v>5</v>
      </c>
      <c r="G6" s="13" t="n">
        <v>6</v>
      </c>
      <c r="H6" s="13" t="n">
        <v>7</v>
      </c>
      <c r="I6" s="13" t="n">
        <v>8</v>
      </c>
      <c r="J6" s="13" t="n">
        <v>9</v>
      </c>
    </row>
    <row r="7" customFormat="false" ht="15" hidden="false" customHeight="false" outlineLevel="0" collapsed="false">
      <c r="B7" s="0" t="s">
        <v>167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1</v>
      </c>
      <c r="I7" s="13" t="n">
        <v>1</v>
      </c>
      <c r="J7" s="13" t="n">
        <v>2</v>
      </c>
    </row>
    <row r="8" customFormat="false" ht="15" hidden="false" customHeight="false" outlineLevel="0" collapsed="false">
      <c r="B8" s="0" t="s">
        <v>132</v>
      </c>
      <c r="C8" s="13" t="n">
        <v>10000</v>
      </c>
      <c r="D8" s="13" t="n">
        <v>11000</v>
      </c>
      <c r="E8" s="13" t="n">
        <v>12500</v>
      </c>
      <c r="F8" s="13" t="n">
        <v>14000</v>
      </c>
      <c r="G8" s="13" t="n">
        <v>15500</v>
      </c>
      <c r="H8" s="13" t="n">
        <v>17000</v>
      </c>
      <c r="I8" s="13" t="n">
        <v>18500</v>
      </c>
      <c r="J8" s="13" t="n">
        <v>20000</v>
      </c>
    </row>
    <row r="9" customFormat="false" ht="15" hidden="false" customHeight="false" outlineLevel="0" collapsed="false">
      <c r="B9" s="0" t="s">
        <v>168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30000</v>
      </c>
      <c r="I9" s="13" t="n">
        <v>40000</v>
      </c>
      <c r="J9" s="13" t="n">
        <v>50000</v>
      </c>
    </row>
    <row r="10" customFormat="false" ht="15" hidden="false" customHeight="false" outlineLevel="0" collapsed="false">
      <c r="B10" s="0" t="s">
        <v>169</v>
      </c>
      <c r="C10" s="19" t="n">
        <f aca="false">C6*C8+C7*C9</f>
        <v>20000</v>
      </c>
      <c r="D10" s="19" t="n">
        <f aca="false">D6*D8+D7*D9</f>
        <v>33000</v>
      </c>
      <c r="E10" s="19" t="n">
        <f aca="false">E6*E8+E7*E9</f>
        <v>50000</v>
      </c>
      <c r="F10" s="19" t="n">
        <f aca="false">F6*F8+F7*F9</f>
        <v>70000</v>
      </c>
      <c r="G10" s="19" t="n">
        <f aca="false">G6*G8+G7*G9</f>
        <v>93000</v>
      </c>
      <c r="H10" s="19" t="n">
        <f aca="false">H6*H8+H7*H9</f>
        <v>149000</v>
      </c>
      <c r="I10" s="19" t="n">
        <f aca="false">I6*I8+I7*I9</f>
        <v>188000</v>
      </c>
      <c r="J10" s="19" t="n">
        <f aca="false">J6*J8+J7*J9</f>
        <v>280000</v>
      </c>
    </row>
    <row r="12" customFormat="false" ht="15" hidden="false" customHeight="false" outlineLevel="0" collapsed="false">
      <c r="B12" s="11" t="s">
        <v>170</v>
      </c>
      <c r="C12" s="11"/>
      <c r="D12" s="11"/>
      <c r="E12" s="11"/>
      <c r="F12" s="11"/>
      <c r="G12" s="11"/>
      <c r="H12" s="11"/>
      <c r="I12" s="11"/>
      <c r="J12" s="11"/>
      <c r="K12" s="11"/>
    </row>
    <row r="13" customFormat="false" ht="15" hidden="false" customHeight="false" outlineLevel="0" collapsed="false">
      <c r="B13" s="0" t="s">
        <v>171</v>
      </c>
      <c r="C13" s="22" t="n">
        <f aca="false">3*(C6*Assumptions!$C$13 + C7*Assumptions!$C$13*4.5)</f>
        <v>15000</v>
      </c>
      <c r="D13" s="22" t="n">
        <f aca="false">3*(D6*Assumptions!$C$13 + D7*Assumptions!$C$13*4.5)</f>
        <v>22500</v>
      </c>
      <c r="E13" s="22" t="n">
        <f aca="false">3*(E6*Assumptions!$C$13 + E7*Assumptions!$C$13*4.5)</f>
        <v>30000</v>
      </c>
      <c r="F13" s="22" t="n">
        <f aca="false">3*(F6*Assumptions!$C$13 + F7*Assumptions!$C$13*4.5)</f>
        <v>37500</v>
      </c>
      <c r="G13" s="22" t="n">
        <f aca="false">3*(G6*Assumptions!$C$13 + G7*Assumptions!$C$13*4.5)</f>
        <v>45000</v>
      </c>
      <c r="H13" s="22" t="n">
        <f aca="false">3*(H6*Assumptions!$C$13 + H7*Assumptions!$C$13*4.5)</f>
        <v>86250</v>
      </c>
      <c r="I13" s="22" t="n">
        <f aca="false">3*(I6*Assumptions!$C$13 + I7*Assumptions!$C$13*4.5)</f>
        <v>93750</v>
      </c>
      <c r="J13" s="22" t="n">
        <f aca="false">3*(J6*Assumptions!$C$13 + J7*Assumptions!$C$13*4.5)</f>
        <v>135000</v>
      </c>
      <c r="K13" s="23" t="n">
        <f aca="false">SUM(C13:J13)</f>
        <v>465000</v>
      </c>
    </row>
    <row r="14" customFormat="false" ht="15" hidden="false" customHeight="false" outlineLevel="0" collapsed="false">
      <c r="B14" s="0" t="s">
        <v>136</v>
      </c>
      <c r="C14" s="15" t="n">
        <v>5000</v>
      </c>
      <c r="D14" s="15" t="n">
        <v>5000</v>
      </c>
      <c r="E14" s="15" t="n">
        <v>5000</v>
      </c>
      <c r="F14" s="15" t="n">
        <v>5000</v>
      </c>
      <c r="G14" s="15" t="n">
        <v>5000</v>
      </c>
      <c r="H14" s="15" t="n">
        <v>30000</v>
      </c>
      <c r="I14" s="15" t="n">
        <v>5000</v>
      </c>
      <c r="J14" s="15" t="n">
        <v>30000</v>
      </c>
      <c r="K14" s="23" t="n">
        <f aca="false">SUM(C14:J14)</f>
        <v>90000</v>
      </c>
    </row>
    <row r="15" customFormat="false" ht="15" hidden="false" customHeight="false" outlineLevel="0" collapsed="false">
      <c r="B15" s="0" t="s">
        <v>137</v>
      </c>
      <c r="C15" s="22" t="n">
        <f aca="false">3*C10*Assumptions!$C$18*Assumptions!$C$23</f>
        <v>100800</v>
      </c>
      <c r="D15" s="22" t="n">
        <f aca="false">3*D10*Assumptions!$C$18*Assumptions!$C$23</f>
        <v>166320</v>
      </c>
      <c r="E15" s="22" t="n">
        <f aca="false">3*E10*Assumptions!$C$18*Assumptions!$C$23</f>
        <v>252000</v>
      </c>
      <c r="F15" s="22" t="n">
        <f aca="false">3*F10*Assumptions!$C$18*Assumptions!$C$23</f>
        <v>352800</v>
      </c>
      <c r="G15" s="22" t="n">
        <f aca="false">3*G10*Assumptions!$C$18*Assumptions!$C$23</f>
        <v>468720</v>
      </c>
      <c r="H15" s="22" t="n">
        <f aca="false">3*H10*Assumptions!$C$18*Assumptions!$C$23</f>
        <v>750960</v>
      </c>
      <c r="I15" s="22" t="n">
        <f aca="false">3*I10*Assumptions!$C$18*Assumptions!$C$23</f>
        <v>947520</v>
      </c>
      <c r="J15" s="22" t="n">
        <f aca="false">3*J10*Assumptions!$C$18*Assumptions!$C$23</f>
        <v>1411200</v>
      </c>
      <c r="K15" s="23" t="n">
        <f aca="false">SUM(C15:J15)</f>
        <v>4450320</v>
      </c>
    </row>
    <row r="16" customFormat="false" ht="15" hidden="false" customHeight="false" outlineLevel="0" collapsed="false">
      <c r="B16" s="0" t="s">
        <v>138</v>
      </c>
      <c r="C16" s="22" t="n">
        <f aca="false">3*C10*Assumptions!$C$19*Assumptions!$C$24</f>
        <v>45000</v>
      </c>
      <c r="D16" s="22" t="n">
        <f aca="false">3*D10*Assumptions!$C$19*Assumptions!$C$24</f>
        <v>74250</v>
      </c>
      <c r="E16" s="22" t="n">
        <f aca="false">3*E10*Assumptions!$C$19*Assumptions!$C$24</f>
        <v>112500</v>
      </c>
      <c r="F16" s="22" t="n">
        <f aca="false">3*F10*Assumptions!$C$19*Assumptions!$C$24</f>
        <v>157500</v>
      </c>
      <c r="G16" s="22" t="n">
        <f aca="false">3*G10*Assumptions!$C$19*Assumptions!$C$24</f>
        <v>209250</v>
      </c>
      <c r="H16" s="22" t="n">
        <f aca="false">3*H10*Assumptions!$C$19*Assumptions!$C$24</f>
        <v>335250</v>
      </c>
      <c r="I16" s="22" t="n">
        <f aca="false">3*I10*Assumptions!$C$19*Assumptions!$C$24</f>
        <v>423000</v>
      </c>
      <c r="J16" s="22" t="n">
        <f aca="false">3*J10*Assumptions!$C$19*Assumptions!$C$24</f>
        <v>630000</v>
      </c>
      <c r="K16" s="23" t="n">
        <f aca="false">SUM(C16:J16)</f>
        <v>1986750</v>
      </c>
    </row>
    <row r="17" customFormat="false" ht="15" hidden="false" customHeight="false" outlineLevel="0" collapsed="false">
      <c r="B17" s="0" t="s">
        <v>139</v>
      </c>
      <c r="C17" s="22" t="n">
        <f aca="false">3*(C6+C7)*Assumptions!$C$20*Assumptions!$C$25</f>
        <v>12600</v>
      </c>
      <c r="D17" s="22" t="n">
        <f aca="false">3*(D6+D7)*Assumptions!$C$20*Assumptions!$C$25</f>
        <v>18900</v>
      </c>
      <c r="E17" s="22" t="n">
        <f aca="false">3*(E6+E7)*Assumptions!$C$20*Assumptions!$C$25</f>
        <v>25200</v>
      </c>
      <c r="F17" s="22" t="n">
        <f aca="false">3*(F6+F7)*Assumptions!$C$20*Assumptions!$C$25</f>
        <v>31500</v>
      </c>
      <c r="G17" s="22" t="n">
        <f aca="false">3*(G6+G7)*Assumptions!$C$20*Assumptions!$C$25</f>
        <v>37800</v>
      </c>
      <c r="H17" s="22" t="n">
        <f aca="false">3*(H6+H7)*Assumptions!$C$20*Assumptions!$C$25</f>
        <v>50400</v>
      </c>
      <c r="I17" s="22" t="n">
        <f aca="false">3*(I6+I7)*Assumptions!$C$20*Assumptions!$C$25</f>
        <v>56700</v>
      </c>
      <c r="J17" s="22" t="n">
        <f aca="false">3*(J6+J7)*Assumptions!$C$20*Assumptions!$C$25</f>
        <v>69300</v>
      </c>
      <c r="K17" s="23" t="n">
        <f aca="false">SUM(C17:J17)</f>
        <v>302400</v>
      </c>
    </row>
    <row r="18" customFormat="false" ht="15" hidden="false" customHeight="false" outlineLevel="0" collapsed="false">
      <c r="B18" s="0" t="s">
        <v>172</v>
      </c>
      <c r="C18" s="22" t="n">
        <f aca="false">3*C10*Assumptions!$C$21*Assumptions!$C$22*Assumptions!$C$26</f>
        <v>17982</v>
      </c>
      <c r="D18" s="22" t="n">
        <f aca="false">3*D10*Assumptions!$C$21*Assumptions!$C$22*Assumptions!$C$26</f>
        <v>29670.3</v>
      </c>
      <c r="E18" s="22" t="n">
        <f aca="false">3*E10*Assumptions!$C$21*Assumptions!$C$22*Assumptions!$C$26</f>
        <v>44955</v>
      </c>
      <c r="F18" s="22" t="n">
        <f aca="false">3*F10*Assumptions!$C$21*Assumptions!$C$22*Assumptions!$C$26</f>
        <v>62937</v>
      </c>
      <c r="G18" s="22" t="n">
        <f aca="false">3*G10*Assumptions!$C$21*Assumptions!$C$22*Assumptions!$C$26</f>
        <v>83616.3</v>
      </c>
      <c r="H18" s="22" t="n">
        <f aca="false">3*H10*Assumptions!$C$21*Assumptions!$C$22*Assumptions!$C$26</f>
        <v>133965.9</v>
      </c>
      <c r="I18" s="22" t="n">
        <f aca="false">3*I10*Assumptions!$C$21*Assumptions!$C$22*Assumptions!$C$26</f>
        <v>169030.8</v>
      </c>
      <c r="J18" s="22" t="n">
        <f aca="false">3*J10*Assumptions!$C$21*Assumptions!$C$22*Assumptions!$C$26</f>
        <v>251748</v>
      </c>
      <c r="K18" s="23" t="n">
        <f aca="false">SUM(C18:J18)</f>
        <v>793905.3</v>
      </c>
    </row>
    <row r="19" customFormat="false" ht="15" hidden="false" customHeight="false" outlineLevel="0" collapsed="false">
      <c r="B19" s="0" t="s">
        <v>142</v>
      </c>
      <c r="C19" s="23" t="n">
        <f aca="false">SUM(C13:C18)</f>
        <v>196382</v>
      </c>
      <c r="D19" s="23" t="n">
        <f aca="false">SUM(D13:D18)</f>
        <v>316640.3</v>
      </c>
      <c r="E19" s="23" t="n">
        <f aca="false">SUM(E13:E18)</f>
        <v>469655</v>
      </c>
      <c r="F19" s="23" t="n">
        <f aca="false">SUM(F13:F18)</f>
        <v>647237</v>
      </c>
      <c r="G19" s="23" t="n">
        <f aca="false">SUM(G13:G18)</f>
        <v>849386.3</v>
      </c>
      <c r="H19" s="23" t="n">
        <f aca="false">SUM(H13:H18)</f>
        <v>1386825.9</v>
      </c>
      <c r="I19" s="23" t="n">
        <f aca="false">SUM(I13:I18)</f>
        <v>1695000.8</v>
      </c>
      <c r="J19" s="23" t="n">
        <f aca="false">SUM(J13:J18)</f>
        <v>2527248</v>
      </c>
      <c r="K19" s="23" t="n">
        <f aca="false">SUM(K13:K18)</f>
        <v>8088375.3</v>
      </c>
    </row>
    <row r="21" customFormat="false" ht="15" hidden="false" customHeight="false" outlineLevel="0" collapsed="false">
      <c r="B21" s="11" t="s">
        <v>173</v>
      </c>
      <c r="C21" s="11"/>
      <c r="D21" s="11"/>
      <c r="E21" s="11"/>
      <c r="F21" s="11"/>
      <c r="G21" s="11"/>
      <c r="H21" s="11"/>
      <c r="I21" s="11"/>
      <c r="J21" s="11"/>
      <c r="K21" s="11"/>
    </row>
    <row r="22" customFormat="false" ht="15" hidden="false" customHeight="false" outlineLevel="0" collapsed="false">
      <c r="B22" s="0" t="s">
        <v>174</v>
      </c>
      <c r="C22" s="22" t="n">
        <f aca="false">3*C10*Assumptions!$C$44</f>
        <v>38400</v>
      </c>
      <c r="D22" s="22" t="n">
        <f aca="false">3*D10*Assumptions!$C$44</f>
        <v>63360</v>
      </c>
      <c r="E22" s="22" t="n">
        <f aca="false">3*E10*Assumptions!$C$44</f>
        <v>96000</v>
      </c>
      <c r="F22" s="22" t="n">
        <f aca="false">3*F10*Assumptions!$C$44</f>
        <v>134400</v>
      </c>
      <c r="G22" s="22" t="n">
        <f aca="false">3*G10*Assumptions!$C$44</f>
        <v>178560</v>
      </c>
      <c r="H22" s="22" t="n">
        <f aca="false">3*H10*Assumptions!$C$44</f>
        <v>286080</v>
      </c>
      <c r="I22" s="22" t="n">
        <f aca="false">3*I10*Assumptions!$C$44</f>
        <v>360960</v>
      </c>
      <c r="J22" s="22" t="n">
        <f aca="false">3*J10*Assumptions!$C$44</f>
        <v>537600</v>
      </c>
      <c r="K22" s="23" t="n">
        <f aca="false">SUM(C22:J22)</f>
        <v>1695360</v>
      </c>
    </row>
    <row r="23" customFormat="false" ht="15" hidden="false" customHeight="false" outlineLevel="0" collapsed="false">
      <c r="B23" s="0" t="s">
        <v>145</v>
      </c>
      <c r="C23" s="22" t="n">
        <f aca="false">3*Assumptions!$C$46</f>
        <v>5400</v>
      </c>
      <c r="D23" s="22" t="n">
        <f aca="false">3*Assumptions!$C$46</f>
        <v>5400</v>
      </c>
      <c r="E23" s="22" t="n">
        <f aca="false">3*Assumptions!$C$46</f>
        <v>5400</v>
      </c>
      <c r="F23" s="22" t="n">
        <f aca="false">3*Assumptions!$C$46</f>
        <v>5400</v>
      </c>
      <c r="G23" s="22" t="n">
        <f aca="false">3*Assumptions!$C$47</f>
        <v>10500</v>
      </c>
      <c r="H23" s="22" t="n">
        <f aca="false">3*Assumptions!$C$47</f>
        <v>10500</v>
      </c>
      <c r="I23" s="22" t="n">
        <f aca="false">3*Assumptions!$C$47</f>
        <v>10500</v>
      </c>
      <c r="J23" s="22" t="n">
        <f aca="false">3*Assumptions!$C$47</f>
        <v>10500</v>
      </c>
      <c r="K23" s="23" t="n">
        <f aca="false">SUM(C23:J23)</f>
        <v>63600</v>
      </c>
    </row>
    <row r="24" customFormat="false" ht="15" hidden="false" customHeight="false" outlineLevel="0" collapsed="false">
      <c r="B24" s="0" t="s">
        <v>146</v>
      </c>
      <c r="C24" s="23" t="n">
        <f aca="false">SUM(C22:C23)</f>
        <v>43800</v>
      </c>
      <c r="D24" s="23" t="n">
        <f aca="false">SUM(D22:D23)</f>
        <v>68760</v>
      </c>
      <c r="E24" s="23" t="n">
        <f aca="false">SUM(E22:E23)</f>
        <v>101400</v>
      </c>
      <c r="F24" s="23" t="n">
        <f aca="false">SUM(F22:F23)</f>
        <v>139800</v>
      </c>
      <c r="G24" s="23" t="n">
        <f aca="false">SUM(G22:G23)</f>
        <v>189060</v>
      </c>
      <c r="H24" s="23" t="n">
        <f aca="false">SUM(H22:H23)</f>
        <v>296580</v>
      </c>
      <c r="I24" s="23" t="n">
        <f aca="false">SUM(I22:I23)</f>
        <v>371460</v>
      </c>
      <c r="J24" s="23" t="n">
        <f aca="false">SUM(J22:J23)</f>
        <v>548100</v>
      </c>
      <c r="K24" s="23" t="n">
        <f aca="false">SUM(K22:K23)</f>
        <v>1758960</v>
      </c>
    </row>
    <row r="25" customFormat="false" ht="15" hidden="false" customHeight="false" outlineLevel="0" collapsed="false">
      <c r="B25" s="0" t="s">
        <v>147</v>
      </c>
      <c r="C25" s="23" t="n">
        <f aca="false">C19-C24</f>
        <v>152582</v>
      </c>
      <c r="D25" s="23" t="n">
        <f aca="false">D19-D24</f>
        <v>247880.3</v>
      </c>
      <c r="E25" s="23" t="n">
        <f aca="false">E19-E24</f>
        <v>368255</v>
      </c>
      <c r="F25" s="23" t="n">
        <f aca="false">F19-F24</f>
        <v>507437</v>
      </c>
      <c r="G25" s="23" t="n">
        <f aca="false">G19-G24</f>
        <v>660326.3</v>
      </c>
      <c r="H25" s="23" t="n">
        <f aca="false">H19-H24</f>
        <v>1090245.9</v>
      </c>
      <c r="I25" s="23" t="n">
        <f aca="false">I19-I24</f>
        <v>1323540.8</v>
      </c>
      <c r="J25" s="23" t="n">
        <f aca="false">J19-J24</f>
        <v>1979148</v>
      </c>
      <c r="K25" s="23" t="n">
        <f aca="false">K19-K24</f>
        <v>6329415.3</v>
      </c>
    </row>
    <row r="26" customFormat="false" ht="15" hidden="false" customHeight="false" outlineLevel="0" collapsed="false">
      <c r="B26" s="0" t="s">
        <v>148</v>
      </c>
      <c r="C26" s="25" t="n">
        <f aca="false">IFERROR(C25/C19,0)</f>
        <v>0.77696530231895</v>
      </c>
      <c r="D26" s="25" t="n">
        <f aca="false">IFERROR(D25/D19,0)</f>
        <v>0.782845076890086</v>
      </c>
      <c r="E26" s="25" t="n">
        <f aca="false">IFERROR(E25/E19,0)</f>
        <v>0.784096837039955</v>
      </c>
      <c r="F26" s="25" t="n">
        <f aca="false">IFERROR(F25/F19,0)</f>
        <v>0.784004931732889</v>
      </c>
      <c r="G26" s="25" t="n">
        <f aca="false">IFERROR(G25/G19,0)</f>
        <v>0.7774157647704</v>
      </c>
      <c r="H26" s="25" t="n">
        <f aca="false">IFERROR(H25/H19,0)</f>
        <v>0.786144749676221</v>
      </c>
      <c r="I26" s="25" t="n">
        <f aca="false">IFERROR(I25/I19,0)</f>
        <v>0.780849660955912</v>
      </c>
      <c r="J26" s="25" t="n">
        <f aca="false">IFERROR(J25/J19,0)</f>
        <v>0.783123777326167</v>
      </c>
      <c r="K26" s="25" t="n">
        <f aca="false">IFERROR(K25/K19,0)</f>
        <v>0.782532346143731</v>
      </c>
    </row>
    <row r="28" customFormat="false" ht="15" hidden="false" customHeight="false" outlineLevel="0" collapsed="false">
      <c r="B28" s="11" t="s">
        <v>175</v>
      </c>
      <c r="C28" s="11"/>
      <c r="D28" s="11"/>
      <c r="E28" s="11"/>
      <c r="F28" s="11"/>
      <c r="G28" s="11"/>
      <c r="H28" s="11"/>
      <c r="I28" s="11"/>
      <c r="J28" s="11"/>
      <c r="K28" s="11"/>
    </row>
    <row r="29" customFormat="false" ht="15" hidden="false" customHeight="false" outlineLevel="0" collapsed="false">
      <c r="B29" s="5" t="s">
        <v>150</v>
      </c>
      <c r="C29" s="22" t="n">
        <f aca="false">3*Assumptions!$C$49</f>
        <v>96000</v>
      </c>
      <c r="D29" s="22" t="n">
        <f aca="false">3*Assumptions!$C$49</f>
        <v>96000</v>
      </c>
      <c r="E29" s="22" t="n">
        <f aca="false">3*Assumptions!$C$49</f>
        <v>96000</v>
      </c>
      <c r="F29" s="22" t="n">
        <f aca="false">3*Assumptions!$C$49</f>
        <v>96000</v>
      </c>
      <c r="G29" s="22" t="n">
        <f aca="false">3*Assumptions!$C$50</f>
        <v>195000</v>
      </c>
      <c r="H29" s="22" t="n">
        <f aca="false">3*Assumptions!$C$50</f>
        <v>195000</v>
      </c>
      <c r="I29" s="22" t="n">
        <f aca="false">3*Assumptions!$C$50</f>
        <v>195000</v>
      </c>
      <c r="J29" s="22" t="n">
        <f aca="false">3*Assumptions!$C$50</f>
        <v>195000</v>
      </c>
      <c r="K29" s="23" t="n">
        <f aca="false">SUM(C29:J29)</f>
        <v>1164000</v>
      </c>
    </row>
    <row r="30" customFormat="false" ht="15" hidden="false" customHeight="false" outlineLevel="0" collapsed="false">
      <c r="B30" s="5" t="s">
        <v>151</v>
      </c>
      <c r="C30" s="22" t="n">
        <f aca="false">3*Assumptions!$C$52</f>
        <v>10500</v>
      </c>
      <c r="D30" s="22" t="n">
        <f aca="false">3*Assumptions!$C$52</f>
        <v>10500</v>
      </c>
      <c r="E30" s="22" t="n">
        <f aca="false">3*Assumptions!$C$52</f>
        <v>10500</v>
      </c>
      <c r="F30" s="22" t="n">
        <f aca="false">3*Assumptions!$C$52</f>
        <v>10500</v>
      </c>
      <c r="G30" s="22" t="n">
        <f aca="false">3*Assumptions!$C$53</f>
        <v>21000</v>
      </c>
      <c r="H30" s="22" t="n">
        <f aca="false">3*Assumptions!$C$53</f>
        <v>21000</v>
      </c>
      <c r="I30" s="22" t="n">
        <f aca="false">3*Assumptions!$C$53</f>
        <v>21000</v>
      </c>
      <c r="J30" s="22" t="n">
        <f aca="false">3*Assumptions!$C$53</f>
        <v>21000</v>
      </c>
      <c r="K30" s="23" t="n">
        <f aca="false">SUM(C30:J30)</f>
        <v>126000</v>
      </c>
    </row>
    <row r="31" customFormat="false" ht="15" hidden="false" customHeight="false" outlineLevel="0" collapsed="false">
      <c r="B31" s="5" t="s">
        <v>152</v>
      </c>
      <c r="C31" s="22" t="n">
        <f aca="false">3*Assumptions!$C$55</f>
        <v>12000</v>
      </c>
      <c r="D31" s="22" t="n">
        <f aca="false">3*Assumptions!$C$55</f>
        <v>12000</v>
      </c>
      <c r="E31" s="22" t="n">
        <f aca="false">3*Assumptions!$C$55</f>
        <v>12000</v>
      </c>
      <c r="F31" s="22" t="n">
        <f aca="false">3*Assumptions!$C$55</f>
        <v>12000</v>
      </c>
      <c r="G31" s="22" t="n">
        <f aca="false">3*Assumptions!$C$56</f>
        <v>30000</v>
      </c>
      <c r="H31" s="22" t="n">
        <f aca="false">3*Assumptions!$C$56</f>
        <v>30000</v>
      </c>
      <c r="I31" s="22" t="n">
        <f aca="false">3*Assumptions!$C$56</f>
        <v>30000</v>
      </c>
      <c r="J31" s="22" t="n">
        <f aca="false">3*Assumptions!$C$56</f>
        <v>30000</v>
      </c>
      <c r="K31" s="23" t="n">
        <f aca="false">SUM(C31:J31)</f>
        <v>168000</v>
      </c>
    </row>
    <row r="32" customFormat="false" ht="15" hidden="false" customHeight="false" outlineLevel="0" collapsed="false">
      <c r="B32" s="0" t="s">
        <v>153</v>
      </c>
      <c r="C32" s="23" t="n">
        <f aca="false">SUM(C29:C31)</f>
        <v>118500</v>
      </c>
      <c r="D32" s="23" t="n">
        <f aca="false">SUM(D29:D31)</f>
        <v>118500</v>
      </c>
      <c r="E32" s="23" t="n">
        <f aca="false">SUM(E29:E31)</f>
        <v>118500</v>
      </c>
      <c r="F32" s="23" t="n">
        <f aca="false">SUM(F29:F31)</f>
        <v>118500</v>
      </c>
      <c r="G32" s="23" t="n">
        <f aca="false">SUM(G29:G31)</f>
        <v>246000</v>
      </c>
      <c r="H32" s="23" t="n">
        <f aca="false">SUM(H29:H31)</f>
        <v>246000</v>
      </c>
      <c r="I32" s="23" t="n">
        <f aca="false">SUM(I29:I31)</f>
        <v>246000</v>
      </c>
      <c r="J32" s="23" t="n">
        <f aca="false">SUM(J29:J31)</f>
        <v>246000</v>
      </c>
      <c r="K32" s="23" t="n">
        <f aca="false">SUM(K29:K31)</f>
        <v>1458000</v>
      </c>
    </row>
    <row r="33" customFormat="false" ht="15" hidden="false" customHeight="false" outlineLevel="0" collapsed="false">
      <c r="B33" s="0" t="s">
        <v>154</v>
      </c>
      <c r="C33" s="23" t="n">
        <f aca="false">C25-C32</f>
        <v>34082</v>
      </c>
      <c r="D33" s="23" t="n">
        <f aca="false">D25-D32</f>
        <v>129380.3</v>
      </c>
      <c r="E33" s="23" t="n">
        <f aca="false">E25-E32</f>
        <v>249755</v>
      </c>
      <c r="F33" s="23" t="n">
        <f aca="false">F25-F32</f>
        <v>388937</v>
      </c>
      <c r="G33" s="23" t="n">
        <f aca="false">G25-G32</f>
        <v>414326.3</v>
      </c>
      <c r="H33" s="23" t="n">
        <f aca="false">H25-H32</f>
        <v>844245.9</v>
      </c>
      <c r="I33" s="23" t="n">
        <f aca="false">I25-I32</f>
        <v>1077540.8</v>
      </c>
      <c r="J33" s="23" t="n">
        <f aca="false">J25-J32</f>
        <v>1733148</v>
      </c>
      <c r="K33" s="23" t="n">
        <f aca="false">K25-K32</f>
        <v>4871415.3</v>
      </c>
    </row>
    <row r="34" customFormat="false" ht="15" hidden="false" customHeight="false" outlineLevel="0" collapsed="false">
      <c r="B34" s="0" t="s">
        <v>155</v>
      </c>
      <c r="C34" s="25" t="n">
        <f aca="false">IFERROR(C33/C19,0)</f>
        <v>0.173549510647615</v>
      </c>
      <c r="D34" s="25" t="n">
        <f aca="false">IFERROR(D33/D19,0)</f>
        <v>0.408603390029633</v>
      </c>
      <c r="E34" s="25" t="n">
        <f aca="false">IFERROR(E33/E19,0)</f>
        <v>0.531783969083689</v>
      </c>
      <c r="F34" s="25" t="n">
        <f aca="false">IFERROR(F33/F19,0)</f>
        <v>0.600918983309051</v>
      </c>
      <c r="G34" s="25" t="n">
        <f aca="false">IFERROR(G33/G19,0)</f>
        <v>0.487794893795673</v>
      </c>
      <c r="H34" s="25" t="n">
        <f aca="false">IFERROR(H33/H19,0)</f>
        <v>0.608761272774038</v>
      </c>
      <c r="I34" s="25" t="n">
        <f aca="false">IFERROR(I33/I19,0)</f>
        <v>0.635716986092278</v>
      </c>
      <c r="J34" s="25" t="n">
        <f aca="false">IFERROR(J33/J19,0)</f>
        <v>0.68578469544738</v>
      </c>
      <c r="K34" s="25" t="n">
        <f aca="false">IFERROR(K33/K19,0)</f>
        <v>0.602273648207199</v>
      </c>
    </row>
    <row r="36" customFormat="false" ht="15" hidden="false" customHeight="false" outlineLevel="0" collapsed="false">
      <c r="B36" s="26" t="s">
        <v>176</v>
      </c>
      <c r="C36" s="23" t="n">
        <f aca="false">Y1_Monthly!O36+C33</f>
        <v>70458.73</v>
      </c>
      <c r="D36" s="23" t="n">
        <f aca="false">C36+D33</f>
        <v>199839.03</v>
      </c>
      <c r="E36" s="23" t="n">
        <f aca="false">D36+E33</f>
        <v>449594.03</v>
      </c>
      <c r="F36" s="23" t="n">
        <f aca="false">E36+F33</f>
        <v>838531.03</v>
      </c>
      <c r="G36" s="23" t="n">
        <f aca="false">F36+G33</f>
        <v>1252857.33</v>
      </c>
      <c r="H36" s="23" t="n">
        <f aca="false">G36+H33</f>
        <v>2097103.23</v>
      </c>
      <c r="I36" s="23" t="n">
        <f aca="false">H36+I33</f>
        <v>3174644.03</v>
      </c>
      <c r="J36" s="23" t="n">
        <f aca="false">I36+J33</f>
        <v>4907792.03</v>
      </c>
      <c r="K36" s="23" t="n">
        <f aca="false">J36</f>
        <v>4907792.03</v>
      </c>
    </row>
  </sheetData>
  <mergeCells count="5">
    <mergeCell ref="B2:K2"/>
    <mergeCell ref="B5:K5"/>
    <mergeCell ref="B12:K12"/>
    <mergeCell ref="B21:K21"/>
    <mergeCell ref="B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6"/>
  </cols>
  <sheetData>
    <row r="2" customFormat="false" ht="15" hidden="false" customHeight="false" outlineLevel="0" collapsed="false">
      <c r="B2" s="10" t="s">
        <v>177</v>
      </c>
      <c r="C2" s="10"/>
      <c r="D2" s="10"/>
      <c r="E2" s="10"/>
      <c r="F2" s="10"/>
    </row>
    <row r="4" customFormat="false" ht="15" hidden="false" customHeight="false" outlineLevel="0" collapsed="false">
      <c r="C4" s="24" t="s">
        <v>178</v>
      </c>
      <c r="D4" s="24" t="s">
        <v>179</v>
      </c>
      <c r="E4" s="24" t="s">
        <v>180</v>
      </c>
      <c r="F4" s="24" t="s">
        <v>181</v>
      </c>
    </row>
    <row r="5" customFormat="false" ht="15" hidden="false" customHeight="false" outlineLevel="0" collapsed="false">
      <c r="B5" s="11" t="s">
        <v>98</v>
      </c>
      <c r="C5" s="11"/>
      <c r="D5" s="11"/>
      <c r="E5" s="11"/>
      <c r="F5" s="11"/>
    </row>
    <row r="6" customFormat="false" ht="15" hidden="false" customHeight="false" outlineLevel="0" collapsed="false">
      <c r="B6" s="5" t="s">
        <v>182</v>
      </c>
      <c r="C6" s="21" t="n">
        <f aca="false">Y1_Monthly!O12+Y1_Monthly!O13</f>
        <v>40000</v>
      </c>
      <c r="D6" s="21" t="n">
        <f aca="false">SUM(Y2_Y3_Quarterly!C13:F13)+SUM(Y2_Y3_Quarterly!C14:F14)</f>
        <v>125000</v>
      </c>
      <c r="E6" s="21" t="n">
        <f aca="false">SUM(Y2_Y3_Quarterly!G13:J13)+SUM(Y2_Y3_Quarterly!G14:J14)</f>
        <v>430000</v>
      </c>
      <c r="F6" s="23" t="n">
        <f aca="false">SUM(C6:E6)</f>
        <v>595000</v>
      </c>
    </row>
    <row r="7" customFormat="false" ht="15" hidden="false" customHeight="false" outlineLevel="0" collapsed="false">
      <c r="B7" s="5" t="s">
        <v>183</v>
      </c>
      <c r="C7" s="21" t="n">
        <f aca="false">Y1_Monthly!O14+Y1_Monthly!O18</f>
        <v>123929</v>
      </c>
      <c r="D7" s="21" t="n">
        <f aca="false">SUM(Y2_Y3_Quarterly!C15:F15)</f>
        <v>871920</v>
      </c>
      <c r="E7" s="21" t="n">
        <f aca="false">SUM(Y2_Y3_Quarterly!G15:J15)</f>
        <v>3578400</v>
      </c>
      <c r="F7" s="23" t="n">
        <f aca="false">SUM(C7:E7)</f>
        <v>4574249</v>
      </c>
    </row>
    <row r="8" customFormat="false" ht="15" hidden="false" customHeight="false" outlineLevel="0" collapsed="false">
      <c r="B8" s="5" t="s">
        <v>184</v>
      </c>
      <c r="C8" s="21" t="n">
        <f aca="false">Y1_Monthly!O15</f>
        <v>53175</v>
      </c>
      <c r="D8" s="21" t="n">
        <f aca="false">SUM(Y2_Y3_Quarterly!C16:F16)</f>
        <v>389250</v>
      </c>
      <c r="E8" s="21" t="n">
        <f aca="false">SUM(Y2_Y3_Quarterly!G16:J16)</f>
        <v>1597500</v>
      </c>
      <c r="F8" s="23" t="n">
        <f aca="false">SUM(C8:E8)</f>
        <v>2039925</v>
      </c>
    </row>
    <row r="9" customFormat="false" ht="15" hidden="false" customHeight="false" outlineLevel="0" collapsed="false">
      <c r="B9" s="5" t="s">
        <v>185</v>
      </c>
      <c r="C9" s="21" t="n">
        <f aca="false">Y1_Monthly!O16</f>
        <v>21000</v>
      </c>
      <c r="D9" s="21" t="n">
        <f aca="false">SUM(Y2_Y3_Quarterly!C17:F17)</f>
        <v>88200</v>
      </c>
      <c r="E9" s="21" t="n">
        <f aca="false">SUM(Y2_Y3_Quarterly!G17:J17)</f>
        <v>214200</v>
      </c>
      <c r="F9" s="23" t="n">
        <f aca="false">SUM(C9:E9)</f>
        <v>323400</v>
      </c>
    </row>
    <row r="10" customFormat="false" ht="15" hidden="false" customHeight="false" outlineLevel="0" collapsed="false">
      <c r="B10" s="5" t="s">
        <v>172</v>
      </c>
      <c r="C10" s="21" t="n">
        <f aca="false">Y1_Monthly!O17</f>
        <v>21248.73</v>
      </c>
      <c r="D10" s="21" t="n">
        <f aca="false">SUM(Y2_Y3_Quarterly!C18:F18)</f>
        <v>155544.3</v>
      </c>
      <c r="E10" s="21" t="n">
        <f aca="false">SUM(Y2_Y3_Quarterly!G18:J18)</f>
        <v>638361</v>
      </c>
      <c r="F10" s="23" t="n">
        <f aca="false">SUM(C10:E10)</f>
        <v>815154.03</v>
      </c>
    </row>
    <row r="11" customFormat="false" ht="15" hidden="false" customHeight="false" outlineLevel="0" collapsed="false">
      <c r="B11" s="0" t="s">
        <v>142</v>
      </c>
      <c r="C11" s="23" t="n">
        <f aca="false">SUM(C6:C10)</f>
        <v>259352.73</v>
      </c>
      <c r="D11" s="23" t="n">
        <f aca="false">SUM(D6:D10)</f>
        <v>1629914.3</v>
      </c>
      <c r="E11" s="23" t="n">
        <f aca="false">SUM(E6:E10)</f>
        <v>6458461</v>
      </c>
      <c r="F11" s="23" t="n">
        <f aca="false">SUM(F6:F10)</f>
        <v>8347728.03</v>
      </c>
    </row>
    <row r="13" customFormat="false" ht="15" hidden="false" customHeight="false" outlineLevel="0" collapsed="false">
      <c r="B13" s="0" t="s">
        <v>146</v>
      </c>
      <c r="C13" s="21" t="n">
        <f aca="false">Y1_Monthly!O24</f>
        <v>54976</v>
      </c>
      <c r="D13" s="21" t="n">
        <f aca="false">SUM(Y2_Y3_Quarterly!C24:F24)</f>
        <v>353760</v>
      </c>
      <c r="E13" s="21" t="n">
        <f aca="false">SUM(Y2_Y3_Quarterly!G24:J24)</f>
        <v>1405200</v>
      </c>
      <c r="F13" s="23" t="n">
        <f aca="false">SUM(C13:E13)</f>
        <v>1813936</v>
      </c>
    </row>
    <row r="14" customFormat="false" ht="15" hidden="false" customHeight="false" outlineLevel="0" collapsed="false">
      <c r="B14" s="0" t="s">
        <v>147</v>
      </c>
      <c r="C14" s="23" t="n">
        <f aca="false">C11-C13</f>
        <v>204376.73</v>
      </c>
      <c r="D14" s="23" t="n">
        <f aca="false">D11-D13</f>
        <v>1276154.3</v>
      </c>
      <c r="E14" s="23" t="n">
        <f aca="false">E11-E13</f>
        <v>5053261</v>
      </c>
      <c r="F14" s="23" t="n">
        <f aca="false">F11-F13</f>
        <v>6533792.03</v>
      </c>
    </row>
    <row r="15" customFormat="false" ht="15" hidden="false" customHeight="false" outlineLevel="0" collapsed="false">
      <c r="B15" s="0" t="s">
        <v>148</v>
      </c>
      <c r="C15" s="25" t="n">
        <f aca="false">IFERROR(C14/C11,0)</f>
        <v>0.788026137222462</v>
      </c>
      <c r="D15" s="25" t="n">
        <f aca="false">IFERROR(D14/D11,0)</f>
        <v>0.782957913799517</v>
      </c>
      <c r="E15" s="25" t="n">
        <f aca="false">IFERROR(E14/E11,0)</f>
        <v>0.782424946128807</v>
      </c>
      <c r="F15" s="25" t="n">
        <f aca="false">IFERROR(F14/F11,0)</f>
        <v>0.782703030874857</v>
      </c>
    </row>
    <row r="17" customFormat="false" ht="15" hidden="false" customHeight="false" outlineLevel="0" collapsed="false">
      <c r="B17" s="0" t="s">
        <v>153</v>
      </c>
      <c r="C17" s="21" t="n">
        <f aca="false">Y1_Monthly!O32</f>
        <v>168000</v>
      </c>
      <c r="D17" s="21" t="n">
        <f aca="false">SUM(Y2_Y3_Quarterly!C32:F32)</f>
        <v>474000</v>
      </c>
      <c r="E17" s="21" t="n">
        <f aca="false">SUM(Y2_Y3_Quarterly!G32:J32)</f>
        <v>984000</v>
      </c>
      <c r="F17" s="23" t="n">
        <f aca="false">SUM(C17:E17)</f>
        <v>1626000</v>
      </c>
    </row>
    <row r="19" customFormat="false" ht="15" hidden="false" customHeight="false" outlineLevel="0" collapsed="false">
      <c r="B19" s="0" t="s">
        <v>154</v>
      </c>
      <c r="C19" s="23" t="n">
        <f aca="false">C14-C17</f>
        <v>36376.73</v>
      </c>
      <c r="D19" s="23" t="n">
        <f aca="false">D14-D17</f>
        <v>802154.3</v>
      </c>
      <c r="E19" s="23" t="n">
        <f aca="false">E14-E17</f>
        <v>4069261</v>
      </c>
      <c r="F19" s="23" t="n">
        <f aca="false">F14-F17</f>
        <v>4907792.03</v>
      </c>
    </row>
    <row r="20" customFormat="false" ht="15" hidden="false" customHeight="false" outlineLevel="0" collapsed="false">
      <c r="B20" s="0" t="s">
        <v>155</v>
      </c>
      <c r="C20" s="25" t="n">
        <f aca="false">IFERROR(C19/C11,0)</f>
        <v>0.140259676464559</v>
      </c>
      <c r="D20" s="25" t="n">
        <f aca="false">IFERROR(D19/D11,0)</f>
        <v>0.49214507781176</v>
      </c>
      <c r="E20" s="25" t="n">
        <f aca="false">IFERROR(E19/E11,0)</f>
        <v>0.630066667585358</v>
      </c>
      <c r="F20" s="25" t="n">
        <f aca="false">IFERROR(F19/F11,0)</f>
        <v>0.587919492868289</v>
      </c>
    </row>
    <row r="22" customFormat="false" ht="15" hidden="false" customHeight="false" outlineLevel="0" collapsed="false">
      <c r="B22" s="11" t="s">
        <v>186</v>
      </c>
      <c r="C22" s="11"/>
      <c r="D22" s="11"/>
      <c r="E22" s="11"/>
      <c r="F22" s="11"/>
    </row>
    <row r="23" customFormat="false" ht="15" hidden="false" customHeight="false" outlineLevel="0" collapsed="false">
      <c r="B23" s="0" t="s">
        <v>187</v>
      </c>
      <c r="C23" s="14" t="n">
        <f aca="false">Assumptions!C9</f>
        <v>2</v>
      </c>
      <c r="D23" s="14" t="n">
        <f aca="false">Assumptions!D9</f>
        <v>5</v>
      </c>
      <c r="E23" s="14" t="n">
        <f aca="false">Assumptions!E9</f>
        <v>11</v>
      </c>
      <c r="F23" s="14" t="n">
        <f aca="false">E23</f>
        <v>11</v>
      </c>
    </row>
    <row r="24" customFormat="false" ht="15" hidden="false" customHeight="false" outlineLevel="0" collapsed="false">
      <c r="B24" s="0" t="s">
        <v>188</v>
      </c>
      <c r="C24" s="19" t="n">
        <f aca="false">Y1_Monthly!O9/12</f>
        <v>5908.33333333333</v>
      </c>
      <c r="D24" s="19" t="n">
        <f aca="false">AVERAGE(Y2_Y3_Quarterly!C10:F10)</f>
        <v>43250</v>
      </c>
      <c r="E24" s="19" t="n">
        <f aca="false">AVERAGE(Y2_Y3_Quarterly!G10:J10)</f>
        <v>177500</v>
      </c>
      <c r="F24" s="19" t="n">
        <f aca="false">E24</f>
        <v>177500</v>
      </c>
    </row>
    <row r="25" customFormat="false" ht="15" hidden="false" customHeight="false" outlineLevel="0" collapsed="false">
      <c r="B25" s="0" t="s">
        <v>189</v>
      </c>
      <c r="C25" s="22" t="n">
        <f aca="false">IFERROR(C11/(C24*12),0)</f>
        <v>3.65800747531735</v>
      </c>
      <c r="D25" s="22" t="n">
        <f aca="false">IFERROR(D11/(D24*12),0)</f>
        <v>3.14048998073218</v>
      </c>
      <c r="E25" s="22" t="n">
        <f aca="false">IFERROR(E11/(E24*12),0)</f>
        <v>3.03214131455399</v>
      </c>
    </row>
    <row r="26" customFormat="false" ht="15" hidden="false" customHeight="false" outlineLevel="0" collapsed="false">
      <c r="B26" s="0" t="s">
        <v>190</v>
      </c>
      <c r="C26" s="22" t="n">
        <f aca="false">IFERROR(C11/C23,0)</f>
        <v>129676.365</v>
      </c>
      <c r="D26" s="22" t="n">
        <f aca="false">IFERROR(D11/D23,0)</f>
        <v>325982.86</v>
      </c>
      <c r="E26" s="22" t="n">
        <f aca="false">IFERROR(E11/E23,0)</f>
        <v>587132.818181818</v>
      </c>
    </row>
  </sheetData>
  <mergeCells count="3">
    <mergeCell ref="B2:F2"/>
    <mergeCell ref="B5:F5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5"/>
    <col collapsed="false" customWidth="true" hidden="false" outlineLevel="0" max="3" min="3" style="0" width="18"/>
  </cols>
  <sheetData>
    <row r="2" customFormat="false" ht="15" hidden="false" customHeight="false" outlineLevel="0" collapsed="false">
      <c r="B2" s="10" t="s">
        <v>191</v>
      </c>
      <c r="C2" s="10"/>
      <c r="D2" s="10"/>
      <c r="E2" s="10"/>
      <c r="F2" s="10"/>
    </row>
    <row r="4" customFormat="false" ht="15" hidden="false" customHeight="false" outlineLevel="0" collapsed="false">
      <c r="B4" s="11" t="s">
        <v>192</v>
      </c>
      <c r="C4" s="11"/>
      <c r="D4" s="11"/>
      <c r="E4" s="11"/>
      <c r="F4" s="11"/>
    </row>
    <row r="5" customFormat="false" ht="15" hidden="false" customHeight="false" outlineLevel="0" collapsed="false">
      <c r="B5" s="0" t="s">
        <v>193</v>
      </c>
      <c r="C5" s="15" t="n">
        <v>60000</v>
      </c>
    </row>
    <row r="6" customFormat="false" ht="15" hidden="false" customHeight="false" outlineLevel="0" collapsed="false">
      <c r="B6" s="0" t="s">
        <v>194</v>
      </c>
      <c r="C6" s="25" t="n">
        <v>0</v>
      </c>
    </row>
    <row r="7" customFormat="false" ht="15" hidden="false" customHeight="false" outlineLevel="0" collapsed="false">
      <c r="B7" s="0" t="s">
        <v>195</v>
      </c>
      <c r="C7" s="27" t="n">
        <v>1</v>
      </c>
    </row>
    <row r="8" customFormat="false" ht="15" hidden="false" customHeight="false" outlineLevel="0" collapsed="false">
      <c r="B8" s="0" t="s">
        <v>196</v>
      </c>
      <c r="C8" s="5" t="s">
        <v>197</v>
      </c>
    </row>
    <row r="9" customFormat="false" ht="15" hidden="false" customHeight="false" outlineLevel="0" collapsed="false">
      <c r="B9" s="0" t="s">
        <v>198</v>
      </c>
      <c r="C9" s="23" t="n">
        <f aca="false">PnL_Summary!E11*5</f>
        <v>32292305</v>
      </c>
    </row>
    <row r="11" customFormat="false" ht="15" hidden="false" customHeight="false" outlineLevel="0" collapsed="false">
      <c r="B11" s="11" t="s">
        <v>199</v>
      </c>
      <c r="C11" s="11"/>
      <c r="D11" s="11"/>
      <c r="E11" s="11"/>
      <c r="F11" s="11"/>
    </row>
    <row r="12" customFormat="false" ht="15" hidden="false" customHeight="false" outlineLevel="0" collapsed="false">
      <c r="B12" s="0" t="s">
        <v>200</v>
      </c>
      <c r="C12" s="15" t="n">
        <v>750000</v>
      </c>
    </row>
    <row r="13" customFormat="false" ht="15" hidden="false" customHeight="false" outlineLevel="0" collapsed="false">
      <c r="B13" s="0" t="s">
        <v>201</v>
      </c>
      <c r="C13" s="15" t="n">
        <v>4000000</v>
      </c>
    </row>
    <row r="14" customFormat="false" ht="15" hidden="false" customHeight="false" outlineLevel="0" collapsed="false">
      <c r="B14" s="0" t="s">
        <v>202</v>
      </c>
      <c r="C14" s="23" t="n">
        <f aca="false">C12+C13</f>
        <v>4750000</v>
      </c>
    </row>
    <row r="15" customFormat="false" ht="15" hidden="false" customHeight="false" outlineLevel="0" collapsed="false">
      <c r="B15" s="0" t="s">
        <v>203</v>
      </c>
      <c r="C15" s="27" t="n">
        <f aca="false">C12/C14</f>
        <v>0.157894736842105</v>
      </c>
    </row>
    <row r="16" customFormat="false" ht="15" hidden="false" customHeight="false" outlineLevel="0" collapsed="false">
      <c r="B16" s="0" t="s">
        <v>204</v>
      </c>
    </row>
    <row r="17" customFormat="false" ht="15" hidden="false" customHeight="false" outlineLevel="0" collapsed="false">
      <c r="B17" s="0" t="s">
        <v>198</v>
      </c>
      <c r="C17" s="23" t="n">
        <f aca="false">PnL_Summary!E11*5*1.4</f>
        <v>45209227</v>
      </c>
    </row>
    <row r="18" customFormat="false" ht="15" hidden="false" customHeight="false" outlineLevel="0" collapsed="false">
      <c r="B18" s="0" t="s">
        <v>205</v>
      </c>
    </row>
  </sheetData>
  <mergeCells count="3">
    <mergeCell ref="B2:F2"/>
    <mergeCell ref="B4:F4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2026-05-26T16:59:18Z</dcterms:created>
  <dc:creator>openpyxl</dc:creator>
  <dc:description/>
  <dc:language>en-US</dc:language>
  <cp:lastModifiedBy/>
  <dcterms:modified xsi:type="dcterms:W3CDTF">2026-05-26T16:59:18Z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